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Filtros" sheetId="2" state="visible" r:id="rId2"/>
    <sheet xmlns:r="http://schemas.openxmlformats.org/officeDocument/2006/relationships" name="Agrupamento" sheetId="3" state="visible" r:id="rId3"/>
    <sheet xmlns:r="http://schemas.openxmlformats.org/officeDocument/2006/relationships" name="Datas" sheetId="4" state="visible" r:id="rId4"/>
    <sheet xmlns:r="http://schemas.openxmlformats.org/officeDocument/2006/relationships" name="Condicional" sheetId="5" state="visible" r:id="rId5"/>
    <sheet xmlns:r="http://schemas.openxmlformats.org/officeDocument/2006/relationships" name="Lookup" sheetId="6" state="visible" r:id="rId6"/>
    <sheet xmlns:r="http://schemas.openxmlformats.org/officeDocument/2006/relationships" name="Metr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DD/MM/YYYY"/>
    <numFmt numFmtId="166" formatCode="0.0%"/>
    <numFmt numFmtId="167" formatCode="DD/MM/YYYY HH:MM"/>
    <numFmt numFmtId="168" formatCode="0.0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</font>
    <font>
      <b val="1"/>
      <color rgb="001F4E79"/>
      <sz val="13"/>
    </font>
    <font>
      <i val="1"/>
      <color rgb="00595959"/>
      <sz val="9"/>
    </font>
    <font>
      <b val="1"/>
      <sz val="10"/>
    </font>
    <font>
      <b val="1"/>
      <color rgb="00FFFFFF"/>
    </font>
    <font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F2F7F0"/>
      </patternFill>
    </fill>
    <fill>
      <patternFill patternType="solid">
        <fgColor rgb="00D9E8D4"/>
      </patternFill>
    </fill>
    <fill>
      <patternFill patternType="solid">
        <fgColor rgb="007030A0"/>
      </patternFill>
    </fill>
    <fill>
      <patternFill patternType="solid">
        <fgColor rgb="00F9F0FF"/>
      </patternFill>
    </fill>
    <fill>
      <patternFill patternType="solid">
        <fgColor rgb="00DDEEFF"/>
      </patternFill>
    </fill>
    <fill>
      <patternFill patternType="solid">
        <fgColor rgb="00FFE0E0"/>
      </patternFill>
    </fill>
    <fill>
      <patternFill patternType="solid">
        <fgColor rgb="00C55A11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4" fillId="0" borderId="0" pivotButton="0" quotePrefix="0" xfId="0"/>
    <xf numFmtId="0" fontId="5" fillId="6" borderId="0" pivotButton="0" quotePrefix="0" xfId="0"/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4" fontId="5" fillId="6" borderId="0" pivotButton="0" quotePrefix="0" xfId="0"/>
    <xf numFmtId="0" fontId="6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6" borderId="1" pivotButton="0" quotePrefix="0" xfId="0"/>
    <xf numFmtId="0" fontId="4" fillId="7" borderId="1" pivotButton="0" quotePrefix="0" xfId="0"/>
    <xf numFmtId="164" fontId="4" fillId="7" borderId="1" pivotButton="0" quotePrefix="0" xfId="0"/>
    <xf numFmtId="164" fontId="4" fillId="6" borderId="1" pivotButton="0" quotePrefix="0" xfId="0"/>
    <xf numFmtId="166" fontId="4" fillId="7" borderId="1" pivotButton="0" quotePrefix="0" xfId="0"/>
    <xf numFmtId="0" fontId="7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4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8" fillId="9" borderId="1" pivotButton="0" quotePrefix="0" xfId="0"/>
    <xf numFmtId="0" fontId="9" fillId="8" borderId="1" pivotButton="0" quotePrefix="0" xfId="0"/>
    <xf numFmtId="0" fontId="8" fillId="10" borderId="1" pivotButton="0" quotePrefix="0" xfId="0"/>
    <xf numFmtId="164" fontId="8" fillId="10" borderId="1" pivotButton="0" quotePrefix="0" xfId="0"/>
    <xf numFmtId="10" fontId="8" fillId="10" borderId="1" pivotButton="0" quotePrefix="0" xfId="0"/>
    <xf numFmtId="165" fontId="4" fillId="7" borderId="1" pivotButton="0" quotePrefix="0" xfId="0"/>
    <xf numFmtId="168" fontId="4" fillId="7" borderId="1" pivotButton="0" quotePrefix="0" xfId="0"/>
    <xf numFmtId="165" fontId="4" fillId="6" borderId="1" pivotButton="0" quotePrefix="0" xfId="0"/>
    <xf numFmtId="167" fontId="4" fillId="6" borderId="1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0" fillId="12" borderId="1" pivotButton="0" quotePrefix="0" xfId="0"/>
    <xf numFmtId="164" fontId="0" fillId="12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/>
    </xf>
    <xf numFmtId="0" fontId="0" fillId="16" borderId="1" pivotButton="0" quotePrefix="0" xfId="0"/>
    <xf numFmtId="164" fontId="0" fillId="16" borderId="1" pivotButton="0" quotePrefix="0" xfId="0"/>
    <xf numFmtId="166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0" customWidth="1" min="4" max="4"/>
    <col width="16" customWidth="1" min="5" max="5"/>
    <col width="12" customWidth="1" min="6" max="6"/>
    <col width="16" customWidth="1" min="7" max="7"/>
    <col width="8" customWidth="1" min="8" max="8"/>
    <col width="24" customWidth="1" min="10" max="10"/>
    <col width="16" customWidth="1" min="11" max="11"/>
    <col width="4" customWidth="1" min="12" max="12"/>
    <col width="16" customWidth="1" min="13" max="13"/>
  </cols>
  <sheetData>
    <row r="1" ht="28" customHeight="1">
      <c r="A1" s="1" t="inlineStr">
        <is>
          <t>Dataset: Funcionarios (employees.csv)</t>
        </is>
      </c>
    </row>
    <row r="2" ht="20" customHeight="1">
      <c r="A2" s="2" t="inlineStr">
        <is>
          <t>ID</t>
        </is>
      </c>
      <c r="B2" s="2" t="inlineStr">
        <is>
          <t>Nome</t>
        </is>
      </c>
      <c r="C2" s="2" t="inlineStr">
        <is>
          <t>Departamento</t>
        </is>
      </c>
      <c r="D2" s="2" t="inlineStr">
        <is>
          <t>Cargo</t>
        </is>
      </c>
      <c r="E2" s="2" t="inlineStr">
        <is>
          <t>Cidade</t>
        </is>
      </c>
      <c r="F2" s="2" t="inlineStr">
        <is>
          <t>Salario</t>
        </is>
      </c>
      <c r="G2" s="2" t="inlineStr">
        <is>
          <t>Data Admissao</t>
        </is>
      </c>
      <c r="H2" s="2" t="inlineStr">
        <is>
          <t>Ativo</t>
        </is>
      </c>
      <c r="J2" s="3" t="inlineStr">
        <is>
          <t>Resumo Rapido</t>
        </is>
      </c>
    </row>
    <row r="3">
      <c r="A3" s="4" t="n">
        <v>1</v>
      </c>
      <c r="B3" s="4" t="inlineStr">
        <is>
          <t>Ana</t>
        </is>
      </c>
      <c r="C3" s="4" t="inlineStr">
        <is>
          <t>Operações</t>
        </is>
      </c>
      <c r="D3" s="4" t="inlineStr">
        <is>
          <t>Analista Operações</t>
        </is>
      </c>
      <c r="E3" s="4" t="inlineStr">
        <is>
          <t>Porto Alegre</t>
        </is>
      </c>
      <c r="F3" s="5" t="n">
        <v>2955.07</v>
      </c>
      <c r="G3" s="6" t="inlineStr">
        <is>
          <t>2021-01-31</t>
        </is>
      </c>
      <c r="H3" s="4" t="inlineStr">
        <is>
          <t>Sim</t>
        </is>
      </c>
      <c r="J3" s="7" t="inlineStr">
        <is>
          <t>Total de funcionarios</t>
        </is>
      </c>
      <c r="K3" s="8">
        <f>COUNTA(A3:A54)</f>
        <v/>
      </c>
    </row>
    <row r="4">
      <c r="A4" s="9" t="n">
        <v>2</v>
      </c>
      <c r="B4" s="9" t="inlineStr">
        <is>
          <t>Carlos</t>
        </is>
      </c>
      <c r="C4" s="9" t="inlineStr"/>
      <c r="D4" s="9" t="inlineStr">
        <is>
          <t>Analista Financeiro</t>
        </is>
      </c>
      <c r="E4" s="9" t="inlineStr">
        <is>
          <t>Brasília</t>
        </is>
      </c>
      <c r="F4" s="10" t="n">
        <v>4842.67</v>
      </c>
      <c r="G4" s="11" t="inlineStr">
        <is>
          <t>2020-06-14</t>
        </is>
      </c>
      <c r="H4" s="9" t="inlineStr">
        <is>
          <t>Sim</t>
        </is>
      </c>
      <c r="J4" s="7" t="inlineStr">
        <is>
          <t>Total de funcionarios ativos</t>
        </is>
      </c>
      <c r="K4" s="8">
        <f>COUNTIF(H3:H54,"Sim")</f>
        <v/>
      </c>
    </row>
    <row r="5">
      <c r="A5" s="4" t="n">
        <v>3</v>
      </c>
      <c r="B5" s="4" t="inlineStr">
        <is>
          <t>João</t>
        </is>
      </c>
      <c r="C5" s="4" t="inlineStr">
        <is>
          <t>Vendas</t>
        </is>
      </c>
      <c r="D5" s="4" t="inlineStr">
        <is>
          <t>Key Account</t>
        </is>
      </c>
      <c r="E5" s="4" t="inlineStr">
        <is>
          <t>Porto Alegre</t>
        </is>
      </c>
      <c r="F5" s="5" t="n">
        <v>8303.389999999999</v>
      </c>
      <c r="G5" s="6" t="inlineStr">
        <is>
          <t>2018-01-27</t>
        </is>
      </c>
      <c r="H5" s="4" t="inlineStr">
        <is>
          <t>Sim</t>
        </is>
      </c>
      <c r="J5" s="7" t="inlineStr">
        <is>
          <t>Salario medio</t>
        </is>
      </c>
      <c r="K5" s="12">
        <f>AVERAGE(F3:F54)</f>
        <v/>
      </c>
    </row>
    <row r="6">
      <c r="A6" s="9" t="n">
        <v>4</v>
      </c>
      <c r="B6" s="9" t="inlineStr">
        <is>
          <t>Maria</t>
        </is>
      </c>
      <c r="C6" s="9" t="inlineStr">
        <is>
          <t>RH</t>
        </is>
      </c>
      <c r="D6" s="9" t="inlineStr">
        <is>
          <t>Analista RH</t>
        </is>
      </c>
      <c r="E6" s="9" t="inlineStr">
        <is>
          <t>Salvador</t>
        </is>
      </c>
      <c r="F6" s="10" t="n">
        <v>4102.85</v>
      </c>
      <c r="G6" s="11" t="inlineStr">
        <is>
          <t>2019-02-01</t>
        </is>
      </c>
      <c r="H6" s="9" t="inlineStr">
        <is>
          <t>Sim</t>
        </is>
      </c>
      <c r="J6" s="7" t="inlineStr">
        <is>
          <t>Maior salario</t>
        </is>
      </c>
      <c r="K6" s="12">
        <f>MAX(F3:F54)</f>
        <v/>
      </c>
    </row>
    <row r="7">
      <c r="A7" s="4" t="n">
        <v>5</v>
      </c>
      <c r="B7" s="4" t="inlineStr">
        <is>
          <t>Pedro</t>
        </is>
      </c>
      <c r="C7" s="4" t="inlineStr">
        <is>
          <t>Financeiro</t>
        </is>
      </c>
      <c r="D7" s="4" t="inlineStr">
        <is>
          <t>Analista Financeiro</t>
        </is>
      </c>
      <c r="E7" s="4" t="inlineStr">
        <is>
          <t>Salvador</t>
        </is>
      </c>
      <c r="F7" s="4" t="n"/>
      <c r="G7" s="6" t="inlineStr">
        <is>
          <t>2025-01-18</t>
        </is>
      </c>
      <c r="H7" s="4" t="inlineStr">
        <is>
          <t>Sim</t>
        </is>
      </c>
      <c r="J7" s="7" t="inlineStr">
        <is>
          <t>Menor salario</t>
        </is>
      </c>
      <c r="K7" s="12">
        <f>MIN(F3:F54)</f>
        <v/>
      </c>
    </row>
    <row r="8">
      <c r="A8" s="9" t="n">
        <v>6</v>
      </c>
      <c r="B8" s="9" t="inlineStr">
        <is>
          <t>Fernanda</t>
        </is>
      </c>
      <c r="C8" s="9" t="inlineStr">
        <is>
          <t>RH</t>
        </is>
      </c>
      <c r="D8" s="9" t="inlineStr">
        <is>
          <t>Analista RH</t>
        </is>
      </c>
      <c r="E8" s="9" t="inlineStr">
        <is>
          <t>Manaus</t>
        </is>
      </c>
      <c r="F8" s="10" t="n">
        <v>9059.57</v>
      </c>
      <c r="G8" s="11" t="inlineStr">
        <is>
          <t>2019-02-18</t>
        </is>
      </c>
      <c r="H8" s="9" t="inlineStr">
        <is>
          <t>Sim</t>
        </is>
      </c>
      <c r="J8" s="7" t="inlineStr">
        <is>
          <t>Folha total</t>
        </is>
      </c>
      <c r="K8" s="12">
        <f>SUM(F3:F54)</f>
        <v/>
      </c>
    </row>
    <row r="9">
      <c r="A9" s="4" t="n">
        <v>7</v>
      </c>
      <c r="B9" s="4" t="inlineStr">
        <is>
          <t>Lucas</t>
        </is>
      </c>
      <c r="C9" s="4" t="inlineStr">
        <is>
          <t>RH</t>
        </is>
      </c>
      <c r="D9" s="4" t="inlineStr">
        <is>
          <t>Analista RH</t>
        </is>
      </c>
      <c r="E9" s="4" t="inlineStr">
        <is>
          <t>Curitiba</t>
        </is>
      </c>
      <c r="F9" s="5" t="n">
        <v>7459.35</v>
      </c>
      <c r="G9" s="6" t="inlineStr">
        <is>
          <t>2019-12-02</t>
        </is>
      </c>
      <c r="H9" s="4" t="inlineStr">
        <is>
          <t>Sim</t>
        </is>
      </c>
      <c r="J9" s="7" t="inlineStr">
        <is>
          <t>Nulos em salario</t>
        </is>
      </c>
      <c r="K9" s="8">
        <f>COUNTA(F3:F54)-COUNT(F3:F54)</f>
        <v/>
      </c>
    </row>
    <row r="10">
      <c r="A10" s="9" t="n">
        <v>8</v>
      </c>
      <c r="B10" s="9" t="inlineStr">
        <is>
          <t>Juliana</t>
        </is>
      </c>
      <c r="C10" s="9" t="inlineStr">
        <is>
          <t>Marketing</t>
        </is>
      </c>
      <c r="D10" s="9" t="inlineStr">
        <is>
          <t>Designer</t>
        </is>
      </c>
      <c r="E10" s="9" t="inlineStr">
        <is>
          <t>São Paulo</t>
        </is>
      </c>
      <c r="F10" s="9" t="n"/>
      <c r="G10" s="11" t="inlineStr">
        <is>
          <t>2018-08-18</t>
        </is>
      </c>
      <c r="H10" s="9" t="inlineStr">
        <is>
          <t>Sim</t>
        </is>
      </c>
    </row>
    <row r="11">
      <c r="A11" s="4" t="n">
        <v>9</v>
      </c>
      <c r="B11" s="4" t="inlineStr">
        <is>
          <t>Rafael</t>
        </is>
      </c>
      <c r="C11" s="4" t="inlineStr">
        <is>
          <t>Marketing</t>
        </is>
      </c>
      <c r="D11" s="4" t="inlineStr">
        <is>
          <t>Copywriter</t>
        </is>
      </c>
      <c r="E11" s="4" t="inlineStr">
        <is>
          <t>Manaus</t>
        </is>
      </c>
      <c r="F11" s="5" t="n">
        <v>4701.01</v>
      </c>
      <c r="G11" s="6" t="inlineStr">
        <is>
          <t>2023-08-07</t>
        </is>
      </c>
      <c r="H11" s="4" t="inlineStr">
        <is>
          <t>Sim</t>
        </is>
      </c>
    </row>
    <row r="12">
      <c r="A12" s="9" t="n">
        <v>10</v>
      </c>
      <c r="B12" s="9" t="inlineStr">
        <is>
          <t>Camila</t>
        </is>
      </c>
      <c r="C12" s="9" t="inlineStr">
        <is>
          <t>Operações</t>
        </is>
      </c>
      <c r="D12" s="9" t="inlineStr">
        <is>
          <t>Gerente Ops</t>
        </is>
      </c>
      <c r="E12" s="9" t="inlineStr">
        <is>
          <t>Porto Alegre</t>
        </is>
      </c>
      <c r="F12" s="9" t="n"/>
      <c r="G12" s="11" t="inlineStr">
        <is>
          <t>2022-06-24</t>
        </is>
      </c>
      <c r="H12" s="9" t="inlineStr">
        <is>
          <t>Sim</t>
        </is>
      </c>
    </row>
    <row r="13">
      <c r="A13" s="4" t="n">
        <v>11</v>
      </c>
      <c r="B13" s="4" t="inlineStr">
        <is>
          <t>Bruno</t>
        </is>
      </c>
      <c r="C13" s="4" t="inlineStr">
        <is>
          <t>Operações</t>
        </is>
      </c>
      <c r="D13" s="4" t="inlineStr">
        <is>
          <t>Supervisor</t>
        </is>
      </c>
      <c r="E13" s="4" t="inlineStr">
        <is>
          <t>Fortaleza</t>
        </is>
      </c>
      <c r="F13" s="5" t="n">
        <v>7710.89</v>
      </c>
      <c r="G13" s="6" t="inlineStr">
        <is>
          <t>2022-09-26</t>
        </is>
      </c>
      <c r="H13" s="4" t="inlineStr">
        <is>
          <t>Sim</t>
        </is>
      </c>
    </row>
    <row r="14">
      <c r="A14" s="9" t="n">
        <v>12</v>
      </c>
      <c r="B14" s="9" t="inlineStr">
        <is>
          <t>Larissa</t>
        </is>
      </c>
      <c r="C14" s="9" t="inlineStr">
        <is>
          <t>TI</t>
        </is>
      </c>
      <c r="D14" s="9" t="inlineStr">
        <is>
          <t>Analista</t>
        </is>
      </c>
      <c r="E14" s="9" t="inlineStr">
        <is>
          <t>Salvador</t>
        </is>
      </c>
      <c r="F14" s="10" t="n">
        <v>13862.23</v>
      </c>
      <c r="G14" s="11" t="inlineStr">
        <is>
          <t>2024-01-09</t>
        </is>
      </c>
      <c r="H14" s="9" t="inlineStr">
        <is>
          <t>Sim</t>
        </is>
      </c>
    </row>
    <row r="15">
      <c r="A15" s="4" t="n">
        <v>13</v>
      </c>
      <c r="B15" s="4" t="inlineStr">
        <is>
          <t>Diego</t>
        </is>
      </c>
      <c r="C15" s="4" t="inlineStr">
        <is>
          <t>Operações</t>
        </is>
      </c>
      <c r="D15" s="4" t="inlineStr">
        <is>
          <t>Coordenador</t>
        </is>
      </c>
      <c r="E15" s="4" t="inlineStr">
        <is>
          <t>Rio de Janeiro</t>
        </is>
      </c>
      <c r="F15" s="5" t="n">
        <v>8825.709999999999</v>
      </c>
      <c r="G15" s="6" t="inlineStr">
        <is>
          <t>2020-01-02</t>
        </is>
      </c>
      <c r="H15" s="4" t="inlineStr">
        <is>
          <t>Sim</t>
        </is>
      </c>
    </row>
    <row r="16">
      <c r="A16" s="9" t="n">
        <v>14</v>
      </c>
      <c r="B16" s="9" t="inlineStr">
        <is>
          <t>Patrícia</t>
        </is>
      </c>
      <c r="C16" s="9" t="inlineStr">
        <is>
          <t>Vendas</t>
        </is>
      </c>
      <c r="D16" s="9" t="inlineStr">
        <is>
          <t>SDR</t>
        </is>
      </c>
      <c r="E16" s="9" t="inlineStr">
        <is>
          <t>Recife</t>
        </is>
      </c>
      <c r="F16" s="10" t="n">
        <v>9862.6</v>
      </c>
      <c r="G16" s="11" t="inlineStr">
        <is>
          <t>2024-01-19</t>
        </is>
      </c>
      <c r="H16" s="9" t="inlineStr">
        <is>
          <t>Não</t>
        </is>
      </c>
    </row>
    <row r="17">
      <c r="A17" s="4" t="n">
        <v>15</v>
      </c>
      <c r="B17" s="4" t="inlineStr">
        <is>
          <t>Thiago</t>
        </is>
      </c>
      <c r="C17" s="4" t="inlineStr">
        <is>
          <t>RH</t>
        </is>
      </c>
      <c r="D17" s="4" t="inlineStr">
        <is>
          <t>Recruiter</t>
        </is>
      </c>
      <c r="E17" s="4" t="inlineStr">
        <is>
          <t>Rio de Janeiro</t>
        </is>
      </c>
      <c r="F17" s="4" t="n"/>
      <c r="G17" s="6" t="inlineStr">
        <is>
          <t>2020-09-13</t>
        </is>
      </c>
      <c r="H17" s="4" t="inlineStr">
        <is>
          <t>Não</t>
        </is>
      </c>
    </row>
    <row r="18">
      <c r="A18" s="9" t="n">
        <v>16</v>
      </c>
      <c r="B18" s="9" t="inlineStr">
        <is>
          <t>Renata</t>
        </is>
      </c>
      <c r="C18" s="9" t="inlineStr">
        <is>
          <t>Vendas</t>
        </is>
      </c>
      <c r="D18" s="9" t="inlineStr">
        <is>
          <t>Gerente de Contas</t>
        </is>
      </c>
      <c r="E18" s="9" t="inlineStr">
        <is>
          <t>Recife</t>
        </is>
      </c>
      <c r="F18" s="10" t="n">
        <v>8937.76</v>
      </c>
      <c r="G18" s="11" t="inlineStr">
        <is>
          <t>2024-03-01</t>
        </is>
      </c>
      <c r="H18" s="9" t="inlineStr">
        <is>
          <t>Sim</t>
        </is>
      </c>
    </row>
    <row r="19">
      <c r="A19" s="4" t="n">
        <v>17</v>
      </c>
      <c r="B19" s="4" t="inlineStr">
        <is>
          <t>Felipe</t>
        </is>
      </c>
      <c r="C19" s="4" t="inlineStr">
        <is>
          <t>Operações</t>
        </is>
      </c>
      <c r="D19" s="4" t="inlineStr">
        <is>
          <t>Supervisor</t>
        </is>
      </c>
      <c r="E19" s="4" t="inlineStr">
        <is>
          <t>Salvador</t>
        </is>
      </c>
      <c r="F19" s="5" t="n">
        <v>7220.28</v>
      </c>
      <c r="G19" s="6" t="inlineStr">
        <is>
          <t>2022-06-23</t>
        </is>
      </c>
      <c r="H19" s="4" t="inlineStr">
        <is>
          <t>Não</t>
        </is>
      </c>
    </row>
    <row r="20">
      <c r="A20" s="9" t="n">
        <v>18</v>
      </c>
      <c r="B20" s="9" t="inlineStr">
        <is>
          <t>Daniela</t>
        </is>
      </c>
      <c r="C20" s="9" t="inlineStr"/>
      <c r="D20" s="9" t="inlineStr">
        <is>
          <t>Analista RH</t>
        </is>
      </c>
      <c r="E20" s="9" t="inlineStr">
        <is>
          <t>São Paulo</t>
        </is>
      </c>
      <c r="F20" s="10" t="n">
        <v>7324.01</v>
      </c>
      <c r="G20" s="11" t="inlineStr">
        <is>
          <t>2020-07-31</t>
        </is>
      </c>
      <c r="H20" s="9" t="inlineStr">
        <is>
          <t>Sim</t>
        </is>
      </c>
    </row>
    <row r="21">
      <c r="A21" s="4" t="n">
        <v>19</v>
      </c>
      <c r="B21" s="4" t="inlineStr">
        <is>
          <t>Rodrigo</t>
        </is>
      </c>
      <c r="C21" s="4" t="inlineStr">
        <is>
          <t>RH</t>
        </is>
      </c>
      <c r="D21" s="4" t="inlineStr">
        <is>
          <t>Analista RH</t>
        </is>
      </c>
      <c r="E21" s="4" t="inlineStr">
        <is>
          <t>Curitiba</t>
        </is>
      </c>
      <c r="F21" s="5" t="n">
        <v>6842.01</v>
      </c>
      <c r="G21" s="6" t="inlineStr">
        <is>
          <t>2021-02-14</t>
        </is>
      </c>
      <c r="H21" s="4" t="inlineStr">
        <is>
          <t>Sim</t>
        </is>
      </c>
    </row>
    <row r="22">
      <c r="A22" s="9" t="n">
        <v>20</v>
      </c>
      <c r="B22" s="9" t="inlineStr">
        <is>
          <t>Amanda</t>
        </is>
      </c>
      <c r="C22" s="9" t="inlineStr">
        <is>
          <t>Vendas</t>
        </is>
      </c>
      <c r="D22" s="9" t="inlineStr">
        <is>
          <t>Key Account</t>
        </is>
      </c>
      <c r="E22" s="9" t="inlineStr">
        <is>
          <t>Fortaleza</t>
        </is>
      </c>
      <c r="F22" s="10" t="n">
        <v>10267.47</v>
      </c>
      <c r="G22" s="9" t="inlineStr"/>
      <c r="H22" s="9" t="inlineStr">
        <is>
          <t>Sim</t>
        </is>
      </c>
    </row>
    <row r="23">
      <c r="A23" s="4" t="n">
        <v>21</v>
      </c>
      <c r="B23" s="4" t="inlineStr">
        <is>
          <t>Gustavo</t>
        </is>
      </c>
      <c r="C23" s="4" t="inlineStr">
        <is>
          <t>Operações</t>
        </is>
      </c>
      <c r="D23" s="4" t="inlineStr">
        <is>
          <t>Analista Operações</t>
        </is>
      </c>
      <c r="E23" s="4" t="inlineStr">
        <is>
          <t>Rio de Janeiro</t>
        </is>
      </c>
      <c r="F23" s="5" t="n">
        <v>3175.8</v>
      </c>
      <c r="G23" s="6" t="inlineStr">
        <is>
          <t>2021-10-21</t>
        </is>
      </c>
      <c r="H23" s="4" t="inlineStr">
        <is>
          <t>Sim</t>
        </is>
      </c>
    </row>
    <row r="24">
      <c r="A24" s="9" t="n">
        <v>22</v>
      </c>
      <c r="B24" s="9" t="inlineStr">
        <is>
          <t>Vanessa</t>
        </is>
      </c>
      <c r="C24" s="9" t="inlineStr">
        <is>
          <t>RH</t>
        </is>
      </c>
      <c r="D24" s="9" t="inlineStr">
        <is>
          <t>Gerente RH</t>
        </is>
      </c>
      <c r="E24" s="9" t="inlineStr">
        <is>
          <t>Recife</t>
        </is>
      </c>
      <c r="F24" s="10" t="n">
        <v>5123.74</v>
      </c>
      <c r="G24" s="9" t="inlineStr"/>
      <c r="H24" s="9" t="inlineStr">
        <is>
          <t>Sim</t>
        </is>
      </c>
    </row>
    <row r="25">
      <c r="A25" s="4" t="n">
        <v>23</v>
      </c>
      <c r="B25" s="4" t="inlineStr">
        <is>
          <t>Eduardo</t>
        </is>
      </c>
      <c r="C25" s="4" t="inlineStr">
        <is>
          <t>TI</t>
        </is>
      </c>
      <c r="D25" s="4" t="inlineStr">
        <is>
          <t>Desenvolvedor</t>
        </is>
      </c>
      <c r="E25" s="4" t="inlineStr">
        <is>
          <t>Fortaleza</t>
        </is>
      </c>
      <c r="F25" s="4" t="n"/>
      <c r="G25" s="6" t="inlineStr">
        <is>
          <t>2023-06-13</t>
        </is>
      </c>
      <c r="H25" s="4" t="inlineStr">
        <is>
          <t>Sim</t>
        </is>
      </c>
    </row>
    <row r="26">
      <c r="A26" s="9" t="n">
        <v>24</v>
      </c>
      <c r="B26" s="9" t="inlineStr">
        <is>
          <t>Aline</t>
        </is>
      </c>
      <c r="C26" s="9" t="inlineStr">
        <is>
          <t>Financeiro</t>
        </is>
      </c>
      <c r="D26" s="9" t="inlineStr">
        <is>
          <t>Tesoureiro</t>
        </is>
      </c>
      <c r="E26" s="9" t="inlineStr">
        <is>
          <t>Manaus</t>
        </is>
      </c>
      <c r="F26" s="10" t="n">
        <v>9364.59</v>
      </c>
      <c r="G26" s="11" t="inlineStr">
        <is>
          <t>2024-03-26</t>
        </is>
      </c>
      <c r="H26" s="9" t="inlineStr">
        <is>
          <t>Sim</t>
        </is>
      </c>
    </row>
    <row r="27">
      <c r="A27" s="4" t="n">
        <v>25</v>
      </c>
      <c r="B27" s="4" t="inlineStr">
        <is>
          <t>Marcos</t>
        </is>
      </c>
      <c r="C27" s="4" t="inlineStr">
        <is>
          <t>Marketing</t>
        </is>
      </c>
      <c r="D27" s="4" t="inlineStr">
        <is>
          <t>Analista Marketing</t>
        </is>
      </c>
      <c r="E27" s="4" t="inlineStr">
        <is>
          <t>Manaus</t>
        </is>
      </c>
      <c r="F27" s="5" t="n">
        <v>8983.799999999999</v>
      </c>
      <c r="G27" s="6" t="inlineStr">
        <is>
          <t>2018-08-23</t>
        </is>
      </c>
      <c r="H27" s="4" t="inlineStr">
        <is>
          <t>Sim</t>
        </is>
      </c>
    </row>
    <row r="28">
      <c r="A28" s="9" t="n">
        <v>26</v>
      </c>
      <c r="B28" s="9" t="inlineStr">
        <is>
          <t>Cristina</t>
        </is>
      </c>
      <c r="C28" s="9" t="inlineStr">
        <is>
          <t>TI</t>
        </is>
      </c>
      <c r="D28" s="9" t="inlineStr">
        <is>
          <t>Desenvolvedor</t>
        </is>
      </c>
      <c r="E28" s="9" t="inlineStr">
        <is>
          <t>Curitiba</t>
        </is>
      </c>
      <c r="F28" s="10" t="n">
        <v>5890.78</v>
      </c>
      <c r="G28" s="11" t="inlineStr">
        <is>
          <t>2018-10-06</t>
        </is>
      </c>
      <c r="H28" s="9" t="inlineStr">
        <is>
          <t>Sim</t>
        </is>
      </c>
    </row>
    <row r="29">
      <c r="A29" s="4" t="n">
        <v>27</v>
      </c>
      <c r="B29" s="4" t="inlineStr">
        <is>
          <t>Leonardo</t>
        </is>
      </c>
      <c r="C29" s="4" t="inlineStr">
        <is>
          <t>TI</t>
        </is>
      </c>
      <c r="D29" s="4" t="inlineStr">
        <is>
          <t>Analista</t>
        </is>
      </c>
      <c r="E29" s="4" t="inlineStr">
        <is>
          <t>Salvador</t>
        </is>
      </c>
      <c r="F29" s="5" t="n">
        <v>10449.92</v>
      </c>
      <c r="G29" s="6" t="inlineStr">
        <is>
          <t>2024-07-18</t>
        </is>
      </c>
      <c r="H29" s="4" t="inlineStr">
        <is>
          <t>Sim</t>
        </is>
      </c>
    </row>
    <row r="30">
      <c r="A30" s="9" t="n">
        <v>28</v>
      </c>
      <c r="B30" s="9" t="inlineStr">
        <is>
          <t>Priscila</t>
        </is>
      </c>
      <c r="C30" s="9" t="inlineStr"/>
      <c r="D30" s="9" t="inlineStr">
        <is>
          <t>Controller</t>
        </is>
      </c>
      <c r="E30" s="9" t="inlineStr">
        <is>
          <t>Rio de Janeiro</t>
        </is>
      </c>
      <c r="F30" s="10" t="n">
        <v>12224.44</v>
      </c>
      <c r="G30" s="11" t="inlineStr">
        <is>
          <t>2021-05-13</t>
        </is>
      </c>
      <c r="H30" s="9" t="inlineStr">
        <is>
          <t>Sim</t>
        </is>
      </c>
    </row>
    <row r="31">
      <c r="A31" s="4" t="n">
        <v>29</v>
      </c>
      <c r="B31" s="4" t="inlineStr">
        <is>
          <t>André</t>
        </is>
      </c>
      <c r="C31" s="4" t="inlineStr">
        <is>
          <t>Marketing</t>
        </is>
      </c>
      <c r="D31" s="4" t="inlineStr">
        <is>
          <t>Designer</t>
        </is>
      </c>
      <c r="E31" s="4" t="inlineStr">
        <is>
          <t>Rio de Janeiro</t>
        </is>
      </c>
      <c r="F31" s="5" t="n">
        <v>7047.08</v>
      </c>
      <c r="G31" s="6" t="inlineStr">
        <is>
          <t>2019-06-27</t>
        </is>
      </c>
      <c r="H31" s="4" t="inlineStr">
        <is>
          <t>Não</t>
        </is>
      </c>
    </row>
    <row r="32">
      <c r="A32" s="9" t="n">
        <v>30</v>
      </c>
      <c r="B32" s="9" t="inlineStr">
        <is>
          <t>Tatiana</t>
        </is>
      </c>
      <c r="C32" s="9" t="inlineStr">
        <is>
          <t>Operações</t>
        </is>
      </c>
      <c r="D32" s="9" t="inlineStr">
        <is>
          <t>Coordenador</t>
        </is>
      </c>
      <c r="E32" s="9" t="inlineStr">
        <is>
          <t>Recife</t>
        </is>
      </c>
      <c r="F32" s="10" t="n">
        <v>6592.4</v>
      </c>
      <c r="G32" s="11" t="inlineStr">
        <is>
          <t>2025-05-02</t>
        </is>
      </c>
      <c r="H32" s="9" t="inlineStr">
        <is>
          <t>Sim</t>
        </is>
      </c>
    </row>
    <row r="33">
      <c r="A33" s="4" t="n">
        <v>31</v>
      </c>
      <c r="B33" s="4" t="inlineStr">
        <is>
          <t>Vinícius</t>
        </is>
      </c>
      <c r="C33" s="4" t="inlineStr">
        <is>
          <t>TI</t>
        </is>
      </c>
      <c r="D33" s="4" t="inlineStr">
        <is>
          <t>Analista</t>
        </is>
      </c>
      <c r="E33" s="4" t="inlineStr">
        <is>
          <t>Brasília</t>
        </is>
      </c>
      <c r="F33" s="5" t="n">
        <v>14651.42</v>
      </c>
      <c r="G33" s="6" t="inlineStr">
        <is>
          <t>2019-09-29</t>
        </is>
      </c>
      <c r="H33" s="4" t="inlineStr">
        <is>
          <t>Sim</t>
        </is>
      </c>
    </row>
    <row r="34">
      <c r="A34" s="9" t="n">
        <v>32</v>
      </c>
      <c r="B34" s="9" t="inlineStr">
        <is>
          <t>Mariana</t>
        </is>
      </c>
      <c r="C34" s="9" t="inlineStr">
        <is>
          <t>Marketing</t>
        </is>
      </c>
      <c r="D34" s="9" t="inlineStr"/>
      <c r="E34" s="9" t="inlineStr">
        <is>
          <t>Fortaleza</t>
        </is>
      </c>
      <c r="F34" s="10" t="n">
        <v>5008.97</v>
      </c>
      <c r="G34" s="11" t="inlineStr">
        <is>
          <t>2018-07-28</t>
        </is>
      </c>
      <c r="H34" s="9" t="inlineStr">
        <is>
          <t>Sim</t>
        </is>
      </c>
    </row>
    <row r="35">
      <c r="A35" s="4" t="n">
        <v>33</v>
      </c>
      <c r="B35" s="4" t="inlineStr">
        <is>
          <t>Leandro</t>
        </is>
      </c>
      <c r="C35" s="4" t="inlineStr"/>
      <c r="D35" s="4" t="inlineStr"/>
      <c r="E35" s="4" t="inlineStr">
        <is>
          <t>Recife</t>
        </is>
      </c>
      <c r="F35" s="5" t="n">
        <v>8318</v>
      </c>
      <c r="G35" s="6" t="inlineStr">
        <is>
          <t>2024-03-09</t>
        </is>
      </c>
      <c r="H35" s="4" t="inlineStr">
        <is>
          <t>Sim</t>
        </is>
      </c>
    </row>
    <row r="36">
      <c r="A36" s="9" t="n">
        <v>34</v>
      </c>
      <c r="B36" s="9" t="inlineStr">
        <is>
          <t>Beatriz</t>
        </is>
      </c>
      <c r="C36" s="9" t="inlineStr">
        <is>
          <t>Marketing</t>
        </is>
      </c>
      <c r="D36" s="9" t="inlineStr">
        <is>
          <t>Analista Marketing</t>
        </is>
      </c>
      <c r="E36" s="9" t="inlineStr">
        <is>
          <t>Fortaleza</t>
        </is>
      </c>
      <c r="F36" s="10" t="n">
        <v>9676.76</v>
      </c>
      <c r="G36" s="11" t="inlineStr">
        <is>
          <t>2024-07-13</t>
        </is>
      </c>
      <c r="H36" s="9" t="inlineStr">
        <is>
          <t>Sim</t>
        </is>
      </c>
    </row>
    <row r="37">
      <c r="A37" s="4" t="n">
        <v>35</v>
      </c>
      <c r="B37" s="4" t="inlineStr">
        <is>
          <t>Ricardo</t>
        </is>
      </c>
      <c r="C37" s="4" t="inlineStr">
        <is>
          <t>TI</t>
        </is>
      </c>
      <c r="D37" s="4" t="inlineStr">
        <is>
          <t>Arquiteto</t>
        </is>
      </c>
      <c r="E37" s="4" t="inlineStr">
        <is>
          <t>Salvador</t>
        </is>
      </c>
      <c r="F37" s="5" t="n">
        <v>7730.99</v>
      </c>
      <c r="G37" s="6" t="inlineStr">
        <is>
          <t>2020-10-19</t>
        </is>
      </c>
      <c r="H37" s="4" t="inlineStr">
        <is>
          <t>Sim</t>
        </is>
      </c>
    </row>
    <row r="38">
      <c r="A38" s="9" t="n">
        <v>36</v>
      </c>
      <c r="B38" s="9" t="inlineStr">
        <is>
          <t>Érica</t>
        </is>
      </c>
      <c r="C38" s="9" t="inlineStr">
        <is>
          <t>Vendas</t>
        </is>
      </c>
      <c r="D38" s="9" t="inlineStr">
        <is>
          <t>Gerente de Contas</t>
        </is>
      </c>
      <c r="E38" s="9" t="inlineStr">
        <is>
          <t>São Paulo</t>
        </is>
      </c>
      <c r="F38" s="10" t="n">
        <v>10781.45</v>
      </c>
      <c r="G38" s="11" t="inlineStr">
        <is>
          <t>2019-12-27</t>
        </is>
      </c>
      <c r="H38" s="9" t="inlineStr">
        <is>
          <t>Não</t>
        </is>
      </c>
    </row>
    <row r="39">
      <c r="A39" s="4" t="n">
        <v>37</v>
      </c>
      <c r="B39" s="4" t="inlineStr">
        <is>
          <t>Matheus</t>
        </is>
      </c>
      <c r="C39" s="4" t="inlineStr">
        <is>
          <t>Operações</t>
        </is>
      </c>
      <c r="D39" s="4" t="inlineStr">
        <is>
          <t>Supervisor</t>
        </is>
      </c>
      <c r="E39" s="4" t="inlineStr">
        <is>
          <t>São Paulo</t>
        </is>
      </c>
      <c r="F39" s="5" t="n">
        <v>4454.2</v>
      </c>
      <c r="G39" s="6" t="inlineStr">
        <is>
          <t>2019-03-19</t>
        </is>
      </c>
      <c r="H39" s="4" t="inlineStr">
        <is>
          <t>Sim</t>
        </is>
      </c>
    </row>
    <row r="40">
      <c r="A40" s="9" t="n">
        <v>38</v>
      </c>
      <c r="B40" s="9" t="inlineStr">
        <is>
          <t>Letícia</t>
        </is>
      </c>
      <c r="C40" s="9" t="inlineStr">
        <is>
          <t>RH</t>
        </is>
      </c>
      <c r="D40" s="9" t="inlineStr"/>
      <c r="E40" s="9" t="inlineStr">
        <is>
          <t>Salvador</t>
        </is>
      </c>
      <c r="F40" s="10" t="n">
        <v>4949</v>
      </c>
      <c r="G40" s="11" t="inlineStr">
        <is>
          <t>2025-05-27</t>
        </is>
      </c>
      <c r="H40" s="9" t="inlineStr">
        <is>
          <t>Sim</t>
        </is>
      </c>
    </row>
    <row r="41">
      <c r="A41" s="4" t="n">
        <v>39</v>
      </c>
      <c r="B41" s="4" t="inlineStr">
        <is>
          <t>Fábio</t>
        </is>
      </c>
      <c r="C41" s="4" t="inlineStr">
        <is>
          <t>Marketing</t>
        </is>
      </c>
      <c r="D41" s="4" t="inlineStr">
        <is>
          <t>Gestor Tráfego</t>
        </is>
      </c>
      <c r="E41" s="4" t="inlineStr">
        <is>
          <t>São Paulo</t>
        </is>
      </c>
      <c r="F41" s="5" t="n">
        <v>8436.139999999999</v>
      </c>
      <c r="G41" s="6" t="inlineStr">
        <is>
          <t>2024-01-06</t>
        </is>
      </c>
      <c r="H41" s="4" t="inlineStr">
        <is>
          <t>Sim</t>
        </is>
      </c>
    </row>
    <row r="42">
      <c r="A42" s="9" t="n">
        <v>40</v>
      </c>
      <c r="B42" s="9" t="inlineStr">
        <is>
          <t>Natália</t>
        </is>
      </c>
      <c r="C42" s="9" t="inlineStr">
        <is>
          <t>RH</t>
        </is>
      </c>
      <c r="D42" s="9" t="inlineStr">
        <is>
          <t>Analista RH</t>
        </is>
      </c>
      <c r="E42" s="9" t="inlineStr">
        <is>
          <t>Salvador</t>
        </is>
      </c>
      <c r="F42" s="10" t="n">
        <v>4204.62</v>
      </c>
      <c r="G42" s="11" t="inlineStr">
        <is>
          <t>2022-11-15</t>
        </is>
      </c>
      <c r="H42" s="9" t="inlineStr">
        <is>
          <t>Sim</t>
        </is>
      </c>
    </row>
    <row r="43">
      <c r="A43" s="4" t="n">
        <v>41</v>
      </c>
      <c r="B43" s="4" t="inlineStr">
        <is>
          <t>Henrique</t>
        </is>
      </c>
      <c r="C43" s="4" t="inlineStr">
        <is>
          <t>Vendas</t>
        </is>
      </c>
      <c r="D43" s="4" t="inlineStr">
        <is>
          <t>SDR</t>
        </is>
      </c>
      <c r="E43" s="4" t="inlineStr">
        <is>
          <t>Recife</t>
        </is>
      </c>
      <c r="F43" s="5" t="n">
        <v>3399.48</v>
      </c>
      <c r="G43" s="6" t="inlineStr">
        <is>
          <t>2022-11-22</t>
        </is>
      </c>
      <c r="H43" s="4" t="inlineStr">
        <is>
          <t>Sim</t>
        </is>
      </c>
    </row>
    <row r="44">
      <c r="A44" s="9" t="n">
        <v>42</v>
      </c>
      <c r="B44" s="9" t="inlineStr">
        <is>
          <t>Sabrina</t>
        </is>
      </c>
      <c r="C44" s="9" t="inlineStr">
        <is>
          <t>Financeiro</t>
        </is>
      </c>
      <c r="D44" s="9" t="inlineStr">
        <is>
          <t>Analista Financeiro</t>
        </is>
      </c>
      <c r="E44" s="9" t="inlineStr">
        <is>
          <t>Rio de Janeiro</t>
        </is>
      </c>
      <c r="F44" s="10" t="n">
        <v>15412.06</v>
      </c>
      <c r="G44" s="11" t="inlineStr">
        <is>
          <t>2021-09-14</t>
        </is>
      </c>
      <c r="H44" s="9" t="inlineStr">
        <is>
          <t>Sim</t>
        </is>
      </c>
    </row>
    <row r="45">
      <c r="A45" s="4" t="n">
        <v>43</v>
      </c>
      <c r="B45" s="4" t="inlineStr">
        <is>
          <t>Igor</t>
        </is>
      </c>
      <c r="C45" s="4" t="inlineStr">
        <is>
          <t>Financeiro</t>
        </is>
      </c>
      <c r="D45" s="4" t="inlineStr">
        <is>
          <t>Tesoureiro</t>
        </is>
      </c>
      <c r="E45" s="4" t="inlineStr">
        <is>
          <t>Fortaleza</t>
        </is>
      </c>
      <c r="F45" s="5" t="n">
        <v>10875.74</v>
      </c>
      <c r="G45" s="6" t="inlineStr">
        <is>
          <t>2020-02-25</t>
        </is>
      </c>
      <c r="H45" s="4" t="inlineStr">
        <is>
          <t>Sim</t>
        </is>
      </c>
    </row>
    <row r="46">
      <c r="A46" s="9" t="n">
        <v>44</v>
      </c>
      <c r="B46" s="9" t="inlineStr">
        <is>
          <t>Carla</t>
        </is>
      </c>
      <c r="C46" s="9" t="inlineStr">
        <is>
          <t>Marketing</t>
        </is>
      </c>
      <c r="D46" s="9" t="inlineStr">
        <is>
          <t>Analista Marketing</t>
        </is>
      </c>
      <c r="E46" s="9" t="inlineStr">
        <is>
          <t>Brasília</t>
        </is>
      </c>
      <c r="F46" s="10" t="n">
        <v>5431</v>
      </c>
      <c r="G46" s="11" t="inlineStr">
        <is>
          <t>2020-05-10</t>
        </is>
      </c>
      <c r="H46" s="9" t="inlineStr">
        <is>
          <t>Sim</t>
        </is>
      </c>
    </row>
    <row r="47">
      <c r="A47" s="4" t="n">
        <v>45</v>
      </c>
      <c r="B47" s="4" t="inlineStr">
        <is>
          <t>Otávio</t>
        </is>
      </c>
      <c r="C47" s="4" t="inlineStr">
        <is>
          <t>Marketing</t>
        </is>
      </c>
      <c r="D47" s="4" t="inlineStr">
        <is>
          <t>Gestor Tráfego</t>
        </is>
      </c>
      <c r="E47" s="4" t="inlineStr">
        <is>
          <t>Belo Horizonte</t>
        </is>
      </c>
      <c r="F47" s="5" t="n">
        <v>9349.879999999999</v>
      </c>
      <c r="G47" s="6" t="inlineStr">
        <is>
          <t>2019-11-27</t>
        </is>
      </c>
      <c r="H47" s="4" t="inlineStr">
        <is>
          <t>Sim</t>
        </is>
      </c>
    </row>
    <row r="48">
      <c r="A48" s="9" t="n">
        <v>46</v>
      </c>
      <c r="B48" s="9" t="inlineStr">
        <is>
          <t>Simone</t>
        </is>
      </c>
      <c r="C48" s="9" t="inlineStr">
        <is>
          <t>Vendas</t>
        </is>
      </c>
      <c r="D48" s="9" t="inlineStr">
        <is>
          <t>SDR</t>
        </is>
      </c>
      <c r="E48" s="9" t="inlineStr">
        <is>
          <t>São Paulo</t>
        </is>
      </c>
      <c r="F48" s="10" t="n">
        <v>5021.77</v>
      </c>
      <c r="G48" s="9" t="inlineStr"/>
      <c r="H48" s="9" t="inlineStr">
        <is>
          <t>Sim</t>
        </is>
      </c>
    </row>
    <row r="49">
      <c r="A49" s="4" t="n">
        <v>47</v>
      </c>
      <c r="B49" s="4" t="inlineStr">
        <is>
          <t>Gabriel</t>
        </is>
      </c>
      <c r="C49" s="4" t="inlineStr">
        <is>
          <t>Financeiro</t>
        </is>
      </c>
      <c r="D49" s="4" t="inlineStr">
        <is>
          <t>Controller</t>
        </is>
      </c>
      <c r="E49" s="4" t="inlineStr">
        <is>
          <t>Curitiba</t>
        </is>
      </c>
      <c r="F49" s="5" t="n">
        <v>12760.98</v>
      </c>
      <c r="G49" s="6" t="inlineStr">
        <is>
          <t>2022-04-22</t>
        </is>
      </c>
      <c r="H49" s="4" t="inlineStr">
        <is>
          <t>Sim</t>
        </is>
      </c>
    </row>
    <row r="50">
      <c r="A50" s="9" t="n">
        <v>48</v>
      </c>
      <c r="B50" s="9" t="inlineStr">
        <is>
          <t>Mônica</t>
        </is>
      </c>
      <c r="C50" s="9" t="inlineStr">
        <is>
          <t>TI</t>
        </is>
      </c>
      <c r="D50" s="9" t="inlineStr">
        <is>
          <t>DBA</t>
        </is>
      </c>
      <c r="E50" s="9" t="inlineStr">
        <is>
          <t>Recife</t>
        </is>
      </c>
      <c r="F50" s="10" t="n">
        <v>7844.93</v>
      </c>
      <c r="G50" s="11" t="inlineStr">
        <is>
          <t>2023-10-23</t>
        </is>
      </c>
      <c r="H50" s="9" t="inlineStr">
        <is>
          <t>Sim</t>
        </is>
      </c>
    </row>
    <row r="51">
      <c r="A51" s="4" t="n">
        <v>49</v>
      </c>
      <c r="B51" s="4" t="inlineStr">
        <is>
          <t>Marcelo</t>
        </is>
      </c>
      <c r="C51" s="4" t="inlineStr">
        <is>
          <t>Operações</t>
        </is>
      </c>
      <c r="D51" s="4" t="inlineStr">
        <is>
          <t>Coordenador</t>
        </is>
      </c>
      <c r="E51" s="4" t="inlineStr">
        <is>
          <t>Recife</t>
        </is>
      </c>
      <c r="F51" s="5" t="n">
        <v>8690.25</v>
      </c>
      <c r="G51" s="6" t="inlineStr">
        <is>
          <t>2022-12-18</t>
        </is>
      </c>
      <c r="H51" s="4" t="inlineStr">
        <is>
          <t>Sim</t>
        </is>
      </c>
    </row>
    <row r="52">
      <c r="A52" s="9" t="n">
        <v>50</v>
      </c>
      <c r="B52" s="9" t="inlineStr">
        <is>
          <t>Helena</t>
        </is>
      </c>
      <c r="C52" s="9" t="inlineStr">
        <is>
          <t>Financeiro</t>
        </is>
      </c>
      <c r="D52" s="9" t="inlineStr">
        <is>
          <t>Contador</t>
        </is>
      </c>
      <c r="E52" s="9" t="inlineStr">
        <is>
          <t>Belo Horizonte</t>
        </is>
      </c>
      <c r="F52" s="10" t="n">
        <v>7480.7</v>
      </c>
      <c r="G52" s="11" t="inlineStr">
        <is>
          <t>2020-10-09</t>
        </is>
      </c>
      <c r="H52" s="9" t="inlineStr">
        <is>
          <t>Sim</t>
        </is>
      </c>
    </row>
    <row r="53">
      <c r="A53" s="4" t="n">
        <v>51</v>
      </c>
      <c r="B53" s="4" t="inlineStr">
        <is>
          <t>Pedro</t>
        </is>
      </c>
      <c r="C53" s="4" t="inlineStr">
        <is>
          <t>Financeiro</t>
        </is>
      </c>
      <c r="D53" s="4" t="inlineStr">
        <is>
          <t>Analista Financeiro</t>
        </is>
      </c>
      <c r="E53" s="4" t="inlineStr">
        <is>
          <t>Salvador</t>
        </is>
      </c>
      <c r="F53" s="4" t="n"/>
      <c r="G53" s="6" t="inlineStr">
        <is>
          <t>2025-01-18</t>
        </is>
      </c>
      <c r="H53" s="4" t="inlineStr">
        <is>
          <t>Sim</t>
        </is>
      </c>
    </row>
    <row r="54">
      <c r="A54" s="9" t="n">
        <v>52</v>
      </c>
      <c r="B54" s="9" t="inlineStr">
        <is>
          <t>Larissa</t>
        </is>
      </c>
      <c r="C54" s="9" t="inlineStr">
        <is>
          <t>TI</t>
        </is>
      </c>
      <c r="D54" s="9" t="inlineStr">
        <is>
          <t>Analista</t>
        </is>
      </c>
      <c r="E54" s="9" t="inlineStr">
        <is>
          <t>Salvador</t>
        </is>
      </c>
      <c r="F54" s="10" t="n">
        <v>13862.23</v>
      </c>
      <c r="G54" s="11" t="inlineStr">
        <is>
          <t>2024-01-09</t>
        </is>
      </c>
      <c r="H54" s="9" t="inlineStr">
        <is>
          <t>Sim</t>
        </is>
      </c>
    </row>
  </sheetData>
  <mergeCells count="2">
    <mergeCell ref="J2:M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3" customWidth="1" min="4" max="4"/>
    <col width="30" customWidth="1" min="5" max="5"/>
    <col width="40" customWidth="1" min="6" max="6"/>
  </cols>
  <sheetData>
    <row r="1" ht="25" customHeight="1">
      <c r="A1" s="13" t="inlineStr">
        <is>
          <t>Exemplos de Filtros com Formulas Excel</t>
        </is>
      </c>
    </row>
    <row r="2">
      <c r="A2" s="14" t="inlineStr">
        <is>
          <t>Descricao</t>
        </is>
      </c>
      <c r="B2" s="14" t="inlineStr">
        <is>
          <t>Formula Excel</t>
        </is>
      </c>
      <c r="E2" s="14" t="inlineStr">
        <is>
          <t>Descricao</t>
        </is>
      </c>
      <c r="F2" s="14" t="inlineStr">
        <is>
          <t>Formula Excel</t>
        </is>
      </c>
    </row>
    <row r="3">
      <c r="A3" s="15" t="inlineStr">
        <is>
          <t>Contar TI</t>
        </is>
      </c>
      <c r="B3" s="16">
        <f>COUNTIF(Dados!C3:C54,"TI")</f>
        <v/>
      </c>
      <c r="E3" s="15" t="inlineStr">
        <is>
          <t>COUNTIFS - TI E Ativo</t>
        </is>
      </c>
      <c r="F3" s="17">
        <f>COUNTIFS(Dados!C3:C54,"TI",Dados!H3:H54,"Sim")</f>
        <v/>
      </c>
    </row>
    <row r="4">
      <c r="A4" s="15" t="inlineStr">
        <is>
          <t>Contar ativos</t>
        </is>
      </c>
      <c r="B4" s="16">
        <f>COUNTIF(Dados!H3:H54,"Sim")</f>
        <v/>
      </c>
      <c r="E4" s="15" t="inlineStr">
        <is>
          <t>SUMIFS - Vendas E Ativo</t>
        </is>
      </c>
      <c r="F4" s="18">
        <f>SUMIFS(Dados!F3:F54,Dados!C3:C54,"Vendas",Dados!H3:H54,"Sim")</f>
        <v/>
      </c>
    </row>
    <row r="5">
      <c r="A5" s="15" t="inlineStr">
        <is>
          <t>Contar salario &gt; 8000</t>
        </is>
      </c>
      <c r="B5" s="16">
        <f>COUNTIF(Dados!F3:F54,"&gt;8000")</f>
        <v/>
      </c>
      <c r="E5" s="15" t="inlineStr">
        <is>
          <t>AVERAGEIFS - TI E &gt; 5000</t>
        </is>
      </c>
      <c r="F5" s="18">
        <f>AVERAGEIFS(Dados!F3:F54,Dados!C3:C54,"TI",Dados!F3:F54,"&gt;5000")</f>
        <v/>
      </c>
    </row>
    <row r="6">
      <c r="A6" s="15" t="inlineStr">
        <is>
          <t>Contar nulos salario</t>
        </is>
      </c>
      <c r="B6" s="16">
        <f>COUNTA(Dados!F3:F54)-COUNT(Dados!F3:F54)</f>
        <v/>
      </c>
      <c r="E6" s="15" t="inlineStr">
        <is>
          <t>Nome maior salario</t>
        </is>
      </c>
      <c r="F6" s="17">
        <f>INDEX(Dados!B3:B54,MATCH(MAX(Dados!F3:F54),Dados!F3:F54,0))</f>
        <v/>
      </c>
    </row>
    <row r="7">
      <c r="A7" s="15" t="inlineStr">
        <is>
          <t>Soma salario TI</t>
        </is>
      </c>
      <c r="B7" s="19">
        <f>SUMIF(Dados!C3:C54,"TI",Dados!F3:F54)</f>
        <v/>
      </c>
      <c r="E7" s="15" t="inlineStr">
        <is>
          <t>Nome menor salario</t>
        </is>
      </c>
      <c r="F7" s="17">
        <f>INDEX(Dados!B3:B54,MATCH(MIN(Dados!F3:F54),Dados!F3:F54,0))</f>
        <v/>
      </c>
    </row>
    <row r="8">
      <c r="A8" s="15" t="inlineStr">
        <is>
          <t>Soma salario &gt; 5000</t>
        </is>
      </c>
      <c r="B8" s="19">
        <f>SUMIF(Dados!F3:F54,"&gt;5000",Dados!F3:F54)</f>
        <v/>
      </c>
      <c r="E8" s="15" t="inlineStr">
        <is>
          <t>3o maior salario</t>
        </is>
      </c>
      <c r="F8" s="18">
        <f>LARGE(Dados!F3:F54,3)</f>
        <v/>
      </c>
    </row>
    <row r="9">
      <c r="A9" s="15" t="inlineStr">
        <is>
          <t>Media TI</t>
        </is>
      </c>
      <c r="B9" s="19">
        <f>AVERAGEIF(Dados!C3:C54,"TI",Dados!F3:F54)</f>
        <v/>
      </c>
      <c r="E9" s="15" t="inlineStr">
        <is>
          <t>3o menor salario</t>
        </is>
      </c>
      <c r="F9" s="18">
        <f>SMALL(Dados!F3:F54,3)</f>
        <v/>
      </c>
    </row>
    <row r="10">
      <c r="A10" s="15" t="inlineStr">
        <is>
          <t>Valor min salario</t>
        </is>
      </c>
      <c r="B10" s="19">
        <f>MIN(Dados!F3:F54)</f>
        <v/>
      </c>
      <c r="E10" s="15" t="inlineStr">
        <is>
          <t>Unicos departamentos</t>
        </is>
      </c>
      <c r="F10" s="18">
        <f>SUMPRODUCT(1/COUNTIF(Dados!C3:C53,Dados!C3:C53))</f>
        <v/>
      </c>
    </row>
    <row r="11">
      <c r="A11" s="15" t="inlineStr">
        <is>
          <t>Valor max salario</t>
        </is>
      </c>
      <c r="B11" s="19">
        <f>MAX(Dados!F3:F54)</f>
        <v/>
      </c>
      <c r="E11" s="15" t="inlineStr">
        <is>
          <t>% salario &gt; 8000</t>
        </is>
      </c>
      <c r="F11" s="20">
        <f>COUNTIF(Dados!F3:F54,"&gt;8000")/COUNTA(Dados!F3:F54)</f>
        <v/>
      </c>
    </row>
    <row r="12">
      <c r="A12" s="15" t="inlineStr">
        <is>
          <t>Total geral folha</t>
        </is>
      </c>
      <c r="B12" s="19">
        <f>SUM(Dados!F3:F54)</f>
        <v/>
      </c>
      <c r="E12" s="15" t="inlineStr">
        <is>
          <t>Folha ativos</t>
        </is>
      </c>
      <c r="F12" s="18">
        <f>SUMIF(Dados!H3:H54,"Sim",Dados!F3:F54)</f>
        <v/>
      </c>
    </row>
    <row r="14">
      <c r="A14" s="21" t="inlineStr">
        <is>
          <t>Nota: As formulas acima referenciam a aba 'Dados'. Certifique-se de que ela existe.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5" customHeight="1">
      <c r="A1" s="13" t="inlineStr">
        <is>
          <t>Agrupamento por Departamento (equivalente ao GROUP BY)</t>
        </is>
      </c>
    </row>
    <row r="2">
      <c r="A2" s="22" t="inlineStr">
        <is>
          <t>Departamento</t>
        </is>
      </c>
      <c r="B2" s="22" t="inlineStr">
        <is>
          <t>Qtd Funcionarios</t>
        </is>
      </c>
      <c r="C2" s="22" t="inlineStr">
        <is>
          <t>Salario Total</t>
        </is>
      </c>
      <c r="D2" s="22" t="inlineStr">
        <is>
          <t>Salario Medio</t>
        </is>
      </c>
      <c r="E2" s="22" t="inlineStr">
        <is>
          <t>Maior Salario</t>
        </is>
      </c>
      <c r="F2" s="22" t="inlineStr">
        <is>
          <t>Menor Salario</t>
        </is>
      </c>
      <c r="G2" s="22" t="inlineStr">
        <is>
          <t>% da Folha</t>
        </is>
      </c>
    </row>
    <row r="3">
      <c r="A3" s="23" t="inlineStr">
        <is>
          <t>Financeiro</t>
        </is>
      </c>
      <c r="B3" s="24">
        <f>COUNTIF(Dados!C$3:C$54,A3)</f>
        <v/>
      </c>
      <c r="C3" s="25">
        <f>SUMIF(Dados!C$3:C$54,A3,Dados!F$3:F$54)</f>
        <v/>
      </c>
      <c r="D3" s="25">
        <f>IFERROR(AVERAGEIF(Dados!C$3:C$54,A3,Dados!F$3:F$54),0)</f>
        <v/>
      </c>
      <c r="E3" s="25">
        <f>_xlfn.MAXIFS(Dados!F$3:F$54,Dados!C$3:C$54,A3)</f>
        <v/>
      </c>
      <c r="F3" s="25">
        <f>_xlfn.MINIFS(Dados!F$3:F$54,Dados!C$3:C$54,A3)</f>
        <v/>
      </c>
      <c r="G3" s="26">
        <f>C3/C$9</f>
        <v/>
      </c>
    </row>
    <row r="4">
      <c r="A4" s="27" t="inlineStr">
        <is>
          <t>Marketing</t>
        </is>
      </c>
      <c r="B4" s="24">
        <f>COUNTIF(Dados!C$3:C$54,A4)</f>
        <v/>
      </c>
      <c r="C4" s="25">
        <f>SUMIF(Dados!C$3:C$54,A4,Dados!F$3:F$54)</f>
        <v/>
      </c>
      <c r="D4" s="25">
        <f>IFERROR(AVERAGEIF(Dados!C$3:C$54,A4,Dados!F$3:F$54),0)</f>
        <v/>
      </c>
      <c r="E4" s="25">
        <f>_xlfn.MAXIFS(Dados!F$3:F$54,Dados!C$3:C$54,A4)</f>
        <v/>
      </c>
      <c r="F4" s="25">
        <f>_xlfn.MINIFS(Dados!F$3:F$54,Dados!C$3:C$54,A4)</f>
        <v/>
      </c>
      <c r="G4" s="26">
        <f>C4/C$9</f>
        <v/>
      </c>
    </row>
    <row r="5">
      <c r="A5" s="23" t="inlineStr">
        <is>
          <t>Operacoes</t>
        </is>
      </c>
      <c r="B5" s="24">
        <f>COUNTIF(Dados!C$3:C$54,A5)</f>
        <v/>
      </c>
      <c r="C5" s="25">
        <f>SUMIF(Dados!C$3:C$54,A5,Dados!F$3:F$54)</f>
        <v/>
      </c>
      <c r="D5" s="25">
        <f>IFERROR(AVERAGEIF(Dados!C$3:C$54,A5,Dados!F$3:F$54),0)</f>
        <v/>
      </c>
      <c r="E5" s="25">
        <f>_xlfn.MAXIFS(Dados!F$3:F$54,Dados!C$3:C$54,A5)</f>
        <v/>
      </c>
      <c r="F5" s="25">
        <f>_xlfn.MINIFS(Dados!F$3:F$54,Dados!C$3:C$54,A5)</f>
        <v/>
      </c>
      <c r="G5" s="26">
        <f>C5/C$9</f>
        <v/>
      </c>
    </row>
    <row r="6">
      <c r="A6" s="27" t="inlineStr">
        <is>
          <t>RH</t>
        </is>
      </c>
      <c r="B6" s="24">
        <f>COUNTIF(Dados!C$3:C$54,A6)</f>
        <v/>
      </c>
      <c r="C6" s="25">
        <f>SUMIF(Dados!C$3:C$54,A6,Dados!F$3:F$54)</f>
        <v/>
      </c>
      <c r="D6" s="25">
        <f>IFERROR(AVERAGEIF(Dados!C$3:C$54,A6,Dados!F$3:F$54),0)</f>
        <v/>
      </c>
      <c r="E6" s="25">
        <f>_xlfn.MAXIFS(Dados!F$3:F$54,Dados!C$3:C$54,A6)</f>
        <v/>
      </c>
      <c r="F6" s="25">
        <f>_xlfn.MINIFS(Dados!F$3:F$54,Dados!C$3:C$54,A6)</f>
        <v/>
      </c>
      <c r="G6" s="26">
        <f>C6/C$9</f>
        <v/>
      </c>
    </row>
    <row r="7">
      <c r="A7" s="23" t="inlineStr">
        <is>
          <t>TI</t>
        </is>
      </c>
      <c r="B7" s="24">
        <f>COUNTIF(Dados!C$3:C$54,A7)</f>
        <v/>
      </c>
      <c r="C7" s="25">
        <f>SUMIF(Dados!C$3:C$54,A7,Dados!F$3:F$54)</f>
        <v/>
      </c>
      <c r="D7" s="25">
        <f>IFERROR(AVERAGEIF(Dados!C$3:C$54,A7,Dados!F$3:F$54),0)</f>
        <v/>
      </c>
      <c r="E7" s="25">
        <f>_xlfn.MAXIFS(Dados!F$3:F$54,Dados!C$3:C$54,A7)</f>
        <v/>
      </c>
      <c r="F7" s="25">
        <f>_xlfn.MINIFS(Dados!F$3:F$54,Dados!C$3:C$54,A7)</f>
        <v/>
      </c>
      <c r="G7" s="26">
        <f>C7/C$9</f>
        <v/>
      </c>
    </row>
    <row r="8">
      <c r="A8" s="27" t="inlineStr">
        <is>
          <t>Vendas</t>
        </is>
      </c>
      <c r="B8" s="24">
        <f>COUNTIF(Dados!C$3:C$54,A8)</f>
        <v/>
      </c>
      <c r="C8" s="25">
        <f>SUMIF(Dados!C$3:C$54,A8,Dados!F$3:F$54)</f>
        <v/>
      </c>
      <c r="D8" s="25">
        <f>IFERROR(AVERAGEIF(Dados!C$3:C$54,A8,Dados!F$3:F$54),0)</f>
        <v/>
      </c>
      <c r="E8" s="25">
        <f>_xlfn.MAXIFS(Dados!F$3:F$54,Dados!C$3:C$54,A8)</f>
        <v/>
      </c>
      <c r="F8" s="25">
        <f>_xlfn.MINIFS(Dados!F$3:F$54,Dados!C$3:C$54,A8)</f>
        <v/>
      </c>
      <c r="G8" s="26">
        <f>C8/C$9</f>
        <v/>
      </c>
    </row>
    <row r="9">
      <c r="A9" s="28" t="inlineStr">
        <is>
          <t>TOTAL</t>
        </is>
      </c>
      <c r="B9" s="29">
        <f>SUM(B3:B8)</f>
        <v/>
      </c>
      <c r="C9" s="30">
        <f>SUM(C3:C8)</f>
        <v/>
      </c>
      <c r="D9" s="30">
        <f>AVERAGE(Dados!F3:F54)</f>
        <v/>
      </c>
      <c r="E9" s="30">
        <f>MAX(Dados!F3:F54)</f>
        <v/>
      </c>
      <c r="F9" s="30">
        <f>MIN(Dados!F3:F54)</f>
        <v/>
      </c>
      <c r="G9" s="31">
        <f>SUM(G3:G8)</f>
        <v/>
      </c>
    </row>
    <row r="11">
      <c r="A11" s="21" t="inlineStr">
        <is>
          <t>Nota: _xlfn.MAXIFS e _xlfn.MINIFS requerem Excel 2019 ou 365. Em versoes mais antigas, use MAX com IFERROR(INDEX...)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" customWidth="1" min="4" max="4"/>
    <col width="28" customWidth="1" min="5" max="5"/>
    <col width="38" customWidth="1" min="6" max="6"/>
  </cols>
  <sheetData>
    <row r="1" ht="25" customHeight="1">
      <c r="A1" s="13" t="inlineStr">
        <is>
          <t>Trabalhar com Datas no Excel</t>
        </is>
      </c>
    </row>
    <row r="2">
      <c r="A2" s="14" t="inlineStr">
        <is>
          <t>Funcao / Descricao</t>
        </is>
      </c>
      <c r="B2" s="14" t="inlineStr">
        <is>
          <t>Formula (referencia: Dados!G3 = data_admissao)</t>
        </is>
      </c>
      <c r="E2" s="14" t="inlineStr">
        <is>
          <t>Calculo Avancado</t>
        </is>
      </c>
      <c r="F2" s="14" t="inlineStr">
        <is>
          <t>Formula</t>
        </is>
      </c>
    </row>
    <row r="3">
      <c r="A3" s="15" t="inlineStr">
        <is>
          <t>Extrair Ano</t>
        </is>
      </c>
      <c r="B3" s="16">
        <f>YEAR(Dados!G3)</f>
        <v/>
      </c>
      <c r="E3" s="15" t="inlineStr">
        <is>
          <t>Tempo de casa (dias)</t>
        </is>
      </c>
      <c r="F3" s="32">
        <f>TODAY()-Dados!G3</f>
        <v/>
      </c>
    </row>
    <row r="4">
      <c r="A4" s="15" t="inlineStr">
        <is>
          <t>Extrair Mes</t>
        </is>
      </c>
      <c r="B4" s="16">
        <f>MONTH(Dados!G3)</f>
        <v/>
      </c>
      <c r="E4" s="15" t="inlineStr">
        <is>
          <t>Tempo de casa (anos)</t>
        </is>
      </c>
      <c r="F4" s="33">
        <f>YEARFRAC(Dados!G3,TODAY())</f>
        <v/>
      </c>
    </row>
    <row r="5">
      <c r="A5" s="15" t="inlineStr">
        <is>
          <t>Extrair Dia</t>
        </is>
      </c>
      <c r="B5" s="16">
        <f>DAY(Dados!G3)</f>
        <v/>
      </c>
      <c r="E5" s="15" t="inlineStr">
        <is>
          <t>Tempo de casa (meses)</t>
        </is>
      </c>
      <c r="F5" s="17">
        <f>DATEDIF(Dados!G3,TODAY(),"M")</f>
        <v/>
      </c>
    </row>
    <row r="6">
      <c r="A6" s="15" t="inlineStr">
        <is>
          <t>Nome do Mes</t>
        </is>
      </c>
      <c r="B6" s="16">
        <f>TEXT(Dados!G3,"MMMM")</f>
        <v/>
      </c>
      <c r="E6" s="15" t="inlineStr">
        <is>
          <t>Data + 30 dias</t>
        </is>
      </c>
      <c r="F6" s="32">
        <f>Dados!G3+30</f>
        <v/>
      </c>
    </row>
    <row r="7">
      <c r="A7" s="15" t="inlineStr">
        <is>
          <t>Dia da Semana (nome)</t>
        </is>
      </c>
      <c r="B7" s="16">
        <f>TEXT(Dados!G3,"DDDD")</f>
        <v/>
      </c>
      <c r="E7" s="15" t="inlineStr">
        <is>
          <t>Primeiro dia do mes</t>
        </is>
      </c>
      <c r="F7" s="32">
        <f>DATE(YEAR(Dados!G3),MONTH(Dados!G3),1)</f>
        <v/>
      </c>
    </row>
    <row r="8">
      <c r="A8" s="15" t="inlineStr">
        <is>
          <t>Numero dia semana</t>
        </is>
      </c>
      <c r="B8" s="16">
        <f>WEEKDAY(Dados!G3,2)</f>
        <v/>
      </c>
      <c r="E8" s="15" t="inlineStr">
        <is>
          <t>Ultimo dia do mes</t>
        </is>
      </c>
      <c r="F8" s="32">
        <f>EOMONTH(Dados!G3,0)</f>
        <v/>
      </c>
    </row>
    <row r="9">
      <c r="A9" s="15" t="inlineStr">
        <is>
          <t>Trimestre</t>
        </is>
      </c>
      <c r="B9" s="16">
        <f>INT((MONTH(Dados!G3)-1)/3)+1</f>
        <v/>
      </c>
      <c r="E9" s="15" t="inlineStr">
        <is>
          <t>Dias entre duas datas</t>
        </is>
      </c>
      <c r="F9" s="32">
        <f>_xlfn.DAYS(TODAY(),Dados!G3)</f>
        <v/>
      </c>
    </row>
    <row r="10">
      <c r="A10" s="15" t="inlineStr">
        <is>
          <t>Semana do ano</t>
        </is>
      </c>
      <c r="B10" s="16">
        <f>WEEKNUM(Dados!G3,2)</f>
        <v/>
      </c>
      <c r="E10" s="15" t="inlineStr">
        <is>
          <t>Dias uteis entre datas</t>
        </is>
      </c>
      <c r="F10" s="32">
        <f>WORKDAY(Dados!G3,30)</f>
        <v/>
      </c>
    </row>
    <row r="11">
      <c r="A11" s="15" t="inlineStr">
        <is>
          <t>Hoje</t>
        </is>
      </c>
      <c r="B11" s="34">
        <f>TODAY()</f>
        <v/>
      </c>
      <c r="E11" s="15" t="inlineStr">
        <is>
          <t>Filtrar ano 2023</t>
        </is>
      </c>
      <c r="F11" s="17">
        <f>COUNTIF(Dados!G3:G54,"&gt;=01/01/2023")-COUNTIF(Dados!G3:G54,"&gt;=01/01/2024")</f>
        <v/>
      </c>
    </row>
    <row r="12">
      <c r="A12" s="15" t="inlineStr">
        <is>
          <t>Agora</t>
        </is>
      </c>
      <c r="B12" s="35">
        <f>NOW()</f>
        <v/>
      </c>
      <c r="E12" s="15" t="inlineStr">
        <is>
          <t>Mais recente admissao</t>
        </is>
      </c>
      <c r="F12" s="32">
        <f>MAX(Dados!G3:G54)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22" customWidth="1" min="5" max="5"/>
    <col width="18" customWidth="1" min="6" max="6"/>
    <col width="14" customWidth="1" min="7" max="7"/>
  </cols>
  <sheetData>
    <row r="1" ht="25" customHeight="1">
      <c r="A1" s="13" t="inlineStr">
        <is>
          <t>Coluna Condicional — SE, IFS, IFERROR, SWITCH</t>
        </is>
      </c>
    </row>
    <row r="2">
      <c r="A2" s="36" t="inlineStr">
        <is>
          <t>Nome</t>
        </is>
      </c>
      <c r="B2" s="36" t="inlineStr">
        <is>
          <t>Departamento</t>
        </is>
      </c>
      <c r="C2" s="36" t="inlineStr">
        <is>
          <t>Salario</t>
        </is>
      </c>
      <c r="D2" s="36" t="inlineStr">
        <is>
          <t>Nivel (SE aninhado)</t>
        </is>
      </c>
      <c r="E2" s="36" t="inlineStr">
        <is>
          <t>Nivel (IFS)</t>
        </is>
      </c>
      <c r="F2" s="36" t="inlineStr">
        <is>
          <t>Faixa Salarial</t>
        </is>
      </c>
      <c r="G2" s="36" t="inlineStr">
        <is>
          <t>Ativo Label</t>
        </is>
      </c>
    </row>
    <row r="3">
      <c r="A3" s="37" t="inlineStr">
        <is>
          <t>Ana</t>
        </is>
      </c>
      <c r="B3" s="37" t="inlineStr">
        <is>
          <t>Operações</t>
        </is>
      </c>
      <c r="C3" s="38" t="n">
        <v>2955.07</v>
      </c>
      <c r="D3" s="39">
        <f>IF(C3&gt;12000,"Especialista",IF(C3&gt;8000,"Senior",IF(C3&gt;5000,"Pleno","Junior")))</f>
        <v/>
      </c>
      <c r="E3" s="39">
        <f>_xlfn.IFS(C3&gt;12000,"Especialista",C3&gt;8000,"Senior",C3&gt;5000,"Pleno",TRUE,"Junior")</f>
        <v/>
      </c>
      <c r="F3" s="40">
        <f>IF(C3&gt;10000,"Alto",IF(C3&gt;6000,"Medio","Baixo"))</f>
        <v/>
      </c>
      <c r="G3" s="40">
        <f>IF(Dados!H3="Sim","Ativo","Inativo")</f>
        <v/>
      </c>
    </row>
    <row r="4">
      <c r="A4" s="41" t="inlineStr">
        <is>
          <t>Carlos</t>
        </is>
      </c>
      <c r="B4" s="41" t="inlineStr"/>
      <c r="C4" s="42" t="n">
        <v>4842.67</v>
      </c>
      <c r="D4" s="39">
        <f>IF(C4&gt;12000,"Especialista",IF(C4&gt;8000,"Senior",IF(C4&gt;5000,"Pleno","Junior")))</f>
        <v/>
      </c>
      <c r="E4" s="39">
        <f>_xlfn.IFS(C4&gt;12000,"Especialista",C4&gt;8000,"Senior",C4&gt;5000,"Pleno",TRUE,"Junior")</f>
        <v/>
      </c>
      <c r="F4" s="40">
        <f>IF(C4&gt;10000,"Alto",IF(C4&gt;6000,"Medio","Baixo"))</f>
        <v/>
      </c>
      <c r="G4" s="40">
        <f>IF(Dados!H4="Sim","Ativo","Inativo")</f>
        <v/>
      </c>
    </row>
    <row r="5">
      <c r="A5" s="37" t="inlineStr">
        <is>
          <t>João</t>
        </is>
      </c>
      <c r="B5" s="37" t="inlineStr">
        <is>
          <t>Vendas</t>
        </is>
      </c>
      <c r="C5" s="38" t="n">
        <v>8303.389999999999</v>
      </c>
      <c r="D5" s="39">
        <f>IF(C5&gt;12000,"Especialista",IF(C5&gt;8000,"Senior",IF(C5&gt;5000,"Pleno","Junior")))</f>
        <v/>
      </c>
      <c r="E5" s="39">
        <f>_xlfn.IFS(C5&gt;12000,"Especialista",C5&gt;8000,"Senior",C5&gt;5000,"Pleno",TRUE,"Junior")</f>
        <v/>
      </c>
      <c r="F5" s="40">
        <f>IF(C5&gt;10000,"Alto",IF(C5&gt;6000,"Medio","Baixo"))</f>
        <v/>
      </c>
      <c r="G5" s="40">
        <f>IF(Dados!H5="Sim","Ativo","Inativo")</f>
        <v/>
      </c>
    </row>
    <row r="6">
      <c r="A6" s="41" t="inlineStr">
        <is>
          <t>Maria</t>
        </is>
      </c>
      <c r="B6" s="41" t="inlineStr">
        <is>
          <t>RH</t>
        </is>
      </c>
      <c r="C6" s="42" t="n">
        <v>4102.85</v>
      </c>
      <c r="D6" s="39">
        <f>IF(C6&gt;12000,"Especialista",IF(C6&gt;8000,"Senior",IF(C6&gt;5000,"Pleno","Junior")))</f>
        <v/>
      </c>
      <c r="E6" s="39">
        <f>_xlfn.IFS(C6&gt;12000,"Especialista",C6&gt;8000,"Senior",C6&gt;5000,"Pleno",TRUE,"Junior")</f>
        <v/>
      </c>
      <c r="F6" s="40">
        <f>IF(C6&gt;10000,"Alto",IF(C6&gt;6000,"Medio","Baixo"))</f>
        <v/>
      </c>
      <c r="G6" s="40">
        <f>IF(Dados!H6="Sim","Ativo","Inativo")</f>
        <v/>
      </c>
    </row>
    <row r="7">
      <c r="A7" s="37" t="inlineStr">
        <is>
          <t>Pedro</t>
        </is>
      </c>
      <c r="B7" s="37" t="inlineStr">
        <is>
          <t>Financeiro</t>
        </is>
      </c>
      <c r="C7" s="38" t="n"/>
      <c r="D7" s="39">
        <f>IF(C7&gt;12000,"Especialista",IF(C7&gt;8000,"Senior",IF(C7&gt;5000,"Pleno","Junior")))</f>
        <v/>
      </c>
      <c r="E7" s="39">
        <f>_xlfn.IFS(C7&gt;12000,"Especialista",C7&gt;8000,"Senior",C7&gt;5000,"Pleno",TRUE,"Junior")</f>
        <v/>
      </c>
      <c r="F7" s="40">
        <f>IF(C7&gt;10000,"Alto",IF(C7&gt;6000,"Medio","Baixo"))</f>
        <v/>
      </c>
      <c r="G7" s="40">
        <f>IF(Dados!H7="Sim","Ativo","Inativo")</f>
        <v/>
      </c>
    </row>
    <row r="8">
      <c r="A8" s="41" t="inlineStr">
        <is>
          <t>Fernanda</t>
        </is>
      </c>
      <c r="B8" s="41" t="inlineStr">
        <is>
          <t>RH</t>
        </is>
      </c>
      <c r="C8" s="42" t="n">
        <v>9059.57</v>
      </c>
      <c r="D8" s="39">
        <f>IF(C8&gt;12000,"Especialista",IF(C8&gt;8000,"Senior",IF(C8&gt;5000,"Pleno","Junior")))</f>
        <v/>
      </c>
      <c r="E8" s="39">
        <f>_xlfn.IFS(C8&gt;12000,"Especialista",C8&gt;8000,"Senior",C8&gt;5000,"Pleno",TRUE,"Junior")</f>
        <v/>
      </c>
      <c r="F8" s="40">
        <f>IF(C8&gt;10000,"Alto",IF(C8&gt;6000,"Medio","Baixo"))</f>
        <v/>
      </c>
      <c r="G8" s="40">
        <f>IF(Dados!H8="Sim","Ativo","Inativo")</f>
        <v/>
      </c>
    </row>
    <row r="9">
      <c r="A9" s="37" t="inlineStr">
        <is>
          <t>Lucas</t>
        </is>
      </c>
      <c r="B9" s="37" t="inlineStr">
        <is>
          <t>RH</t>
        </is>
      </c>
      <c r="C9" s="38" t="n">
        <v>7459.35</v>
      </c>
      <c r="D9" s="39">
        <f>IF(C9&gt;12000,"Especialista",IF(C9&gt;8000,"Senior",IF(C9&gt;5000,"Pleno","Junior")))</f>
        <v/>
      </c>
      <c r="E9" s="39">
        <f>_xlfn.IFS(C9&gt;12000,"Especialista",C9&gt;8000,"Senior",C9&gt;5000,"Pleno",TRUE,"Junior")</f>
        <v/>
      </c>
      <c r="F9" s="40">
        <f>IF(C9&gt;10000,"Alto",IF(C9&gt;6000,"Medio","Baixo"))</f>
        <v/>
      </c>
      <c r="G9" s="40">
        <f>IF(Dados!H9="Sim","Ativo","Inativo")</f>
        <v/>
      </c>
    </row>
    <row r="10">
      <c r="A10" s="41" t="inlineStr">
        <is>
          <t>Juliana</t>
        </is>
      </c>
      <c r="B10" s="41" t="inlineStr">
        <is>
          <t>Marketing</t>
        </is>
      </c>
      <c r="C10" s="42" t="n"/>
      <c r="D10" s="39">
        <f>IF(C10&gt;12000,"Especialista",IF(C10&gt;8000,"Senior",IF(C10&gt;5000,"Pleno","Junior")))</f>
        <v/>
      </c>
      <c r="E10" s="39">
        <f>_xlfn.IFS(C10&gt;12000,"Especialista",C10&gt;8000,"Senior",C10&gt;5000,"Pleno",TRUE,"Junior")</f>
        <v/>
      </c>
      <c r="F10" s="40">
        <f>IF(C10&gt;10000,"Alto",IF(C10&gt;6000,"Medio","Baixo"))</f>
        <v/>
      </c>
      <c r="G10" s="40">
        <f>IF(Dados!H10="Sim","Ativo","Inativo")</f>
        <v/>
      </c>
    </row>
    <row r="11">
      <c r="A11" s="37" t="inlineStr">
        <is>
          <t>Rafael</t>
        </is>
      </c>
      <c r="B11" s="37" t="inlineStr">
        <is>
          <t>Marketing</t>
        </is>
      </c>
      <c r="C11" s="38" t="n">
        <v>4701.01</v>
      </c>
      <c r="D11" s="39">
        <f>IF(C11&gt;12000,"Especialista",IF(C11&gt;8000,"Senior",IF(C11&gt;5000,"Pleno","Junior")))</f>
        <v/>
      </c>
      <c r="E11" s="39">
        <f>_xlfn.IFS(C11&gt;12000,"Especialista",C11&gt;8000,"Senior",C11&gt;5000,"Pleno",TRUE,"Junior")</f>
        <v/>
      </c>
      <c r="F11" s="40">
        <f>IF(C11&gt;10000,"Alto",IF(C11&gt;6000,"Medio","Baixo"))</f>
        <v/>
      </c>
      <c r="G11" s="40">
        <f>IF(Dados!H11="Sim","Ativo","Inativo")</f>
        <v/>
      </c>
    </row>
    <row r="12">
      <c r="A12" s="41" t="inlineStr">
        <is>
          <t>Camila</t>
        </is>
      </c>
      <c r="B12" s="41" t="inlineStr">
        <is>
          <t>Operações</t>
        </is>
      </c>
      <c r="C12" s="42" t="n"/>
      <c r="D12" s="39">
        <f>IF(C12&gt;12000,"Especialista",IF(C12&gt;8000,"Senior",IF(C12&gt;5000,"Pleno","Junior")))</f>
        <v/>
      </c>
      <c r="E12" s="39">
        <f>_xlfn.IFS(C12&gt;12000,"Especialista",C12&gt;8000,"Senior",C12&gt;5000,"Pleno",TRUE,"Junior")</f>
        <v/>
      </c>
      <c r="F12" s="40">
        <f>IF(C12&gt;10000,"Alto",IF(C12&gt;6000,"Medio","Baixo"))</f>
        <v/>
      </c>
      <c r="G12" s="40">
        <f>IF(Dados!H12="Sim","Ativo","Inativo")</f>
        <v/>
      </c>
    </row>
    <row r="13">
      <c r="A13" s="37" t="inlineStr">
        <is>
          <t>Bruno</t>
        </is>
      </c>
      <c r="B13" s="37" t="inlineStr">
        <is>
          <t>Operações</t>
        </is>
      </c>
      <c r="C13" s="38" t="n">
        <v>7710.89</v>
      </c>
      <c r="D13" s="39">
        <f>IF(C13&gt;12000,"Especialista",IF(C13&gt;8000,"Senior",IF(C13&gt;5000,"Pleno","Junior")))</f>
        <v/>
      </c>
      <c r="E13" s="39">
        <f>_xlfn.IFS(C13&gt;12000,"Especialista",C13&gt;8000,"Senior",C13&gt;5000,"Pleno",TRUE,"Junior")</f>
        <v/>
      </c>
      <c r="F13" s="40">
        <f>IF(C13&gt;10000,"Alto",IF(C13&gt;6000,"Medio","Baixo"))</f>
        <v/>
      </c>
      <c r="G13" s="40">
        <f>IF(Dados!H13="Sim","Ativo","Inativo")</f>
        <v/>
      </c>
    </row>
    <row r="14">
      <c r="A14" s="41" t="inlineStr">
        <is>
          <t>Larissa</t>
        </is>
      </c>
      <c r="B14" s="41" t="inlineStr">
        <is>
          <t>TI</t>
        </is>
      </c>
      <c r="C14" s="42" t="n">
        <v>13862.23</v>
      </c>
      <c r="D14" s="39">
        <f>IF(C14&gt;12000,"Especialista",IF(C14&gt;8000,"Senior",IF(C14&gt;5000,"Pleno","Junior")))</f>
        <v/>
      </c>
      <c r="E14" s="39">
        <f>_xlfn.IFS(C14&gt;12000,"Especialista",C14&gt;8000,"Senior",C14&gt;5000,"Pleno",TRUE,"Junior")</f>
        <v/>
      </c>
      <c r="F14" s="40">
        <f>IF(C14&gt;10000,"Alto",IF(C14&gt;6000,"Medio","Baixo"))</f>
        <v/>
      </c>
      <c r="G14" s="40">
        <f>IF(Dados!H14="Sim","Ativo","Inativo")</f>
        <v/>
      </c>
    </row>
    <row r="15">
      <c r="A15" s="37" t="inlineStr">
        <is>
          <t>Diego</t>
        </is>
      </c>
      <c r="B15" s="37" t="inlineStr">
        <is>
          <t>Operações</t>
        </is>
      </c>
      <c r="C15" s="38" t="n">
        <v>8825.709999999999</v>
      </c>
      <c r="D15" s="39">
        <f>IF(C15&gt;12000,"Especialista",IF(C15&gt;8000,"Senior",IF(C15&gt;5000,"Pleno","Junior")))</f>
        <v/>
      </c>
      <c r="E15" s="39">
        <f>_xlfn.IFS(C15&gt;12000,"Especialista",C15&gt;8000,"Senior",C15&gt;5000,"Pleno",TRUE,"Junior")</f>
        <v/>
      </c>
      <c r="F15" s="40">
        <f>IF(C15&gt;10000,"Alto",IF(C15&gt;6000,"Medio","Baixo"))</f>
        <v/>
      </c>
      <c r="G15" s="40">
        <f>IF(Dados!H15="Sim","Ativo","Inativo")</f>
        <v/>
      </c>
    </row>
    <row r="16">
      <c r="A16" s="41" t="inlineStr">
        <is>
          <t>Patrícia</t>
        </is>
      </c>
      <c r="B16" s="41" t="inlineStr">
        <is>
          <t>Vendas</t>
        </is>
      </c>
      <c r="C16" s="42" t="n">
        <v>9862.6</v>
      </c>
      <c r="D16" s="39">
        <f>IF(C16&gt;12000,"Especialista",IF(C16&gt;8000,"Senior",IF(C16&gt;5000,"Pleno","Junior")))</f>
        <v/>
      </c>
      <c r="E16" s="39">
        <f>_xlfn.IFS(C16&gt;12000,"Especialista",C16&gt;8000,"Senior",C16&gt;5000,"Pleno",TRUE,"Junior")</f>
        <v/>
      </c>
      <c r="F16" s="40">
        <f>IF(C16&gt;10000,"Alto",IF(C16&gt;6000,"Medio","Baixo"))</f>
        <v/>
      </c>
      <c r="G16" s="40">
        <f>IF(Dados!H16="Sim","Ativo","Inativo")</f>
        <v/>
      </c>
    </row>
    <row r="17">
      <c r="A17" s="37" t="inlineStr">
        <is>
          <t>Thiago</t>
        </is>
      </c>
      <c r="B17" s="37" t="inlineStr">
        <is>
          <t>RH</t>
        </is>
      </c>
      <c r="C17" s="38" t="n"/>
      <c r="D17" s="39">
        <f>IF(C17&gt;12000,"Especialista",IF(C17&gt;8000,"Senior",IF(C17&gt;5000,"Pleno","Junior")))</f>
        <v/>
      </c>
      <c r="E17" s="39">
        <f>_xlfn.IFS(C17&gt;12000,"Especialista",C17&gt;8000,"Senior",C17&gt;5000,"Pleno",TRUE,"Junior")</f>
        <v/>
      </c>
      <c r="F17" s="40">
        <f>IF(C17&gt;10000,"Alto",IF(C17&gt;6000,"Medio","Baixo"))</f>
        <v/>
      </c>
      <c r="G17" s="40">
        <f>IF(Dados!H17="Sim","Ativo","Inativo")</f>
        <v/>
      </c>
    </row>
    <row r="18">
      <c r="A18" s="41" t="inlineStr">
        <is>
          <t>Renata</t>
        </is>
      </c>
      <c r="B18" s="41" t="inlineStr">
        <is>
          <t>Vendas</t>
        </is>
      </c>
      <c r="C18" s="42" t="n">
        <v>8937.76</v>
      </c>
      <c r="D18" s="39">
        <f>IF(C18&gt;12000,"Especialista",IF(C18&gt;8000,"Senior",IF(C18&gt;5000,"Pleno","Junior")))</f>
        <v/>
      </c>
      <c r="E18" s="39">
        <f>_xlfn.IFS(C18&gt;12000,"Especialista",C18&gt;8000,"Senior",C18&gt;5000,"Pleno",TRUE,"Junior")</f>
        <v/>
      </c>
      <c r="F18" s="40">
        <f>IF(C18&gt;10000,"Alto",IF(C18&gt;6000,"Medio","Baixo"))</f>
        <v/>
      </c>
      <c r="G18" s="40">
        <f>IF(Dados!H18="Sim","Ativo","Inativo")</f>
        <v/>
      </c>
    </row>
    <row r="19">
      <c r="A19" s="37" t="inlineStr">
        <is>
          <t>Felipe</t>
        </is>
      </c>
      <c r="B19" s="37" t="inlineStr">
        <is>
          <t>Operações</t>
        </is>
      </c>
      <c r="C19" s="38" t="n">
        <v>7220.28</v>
      </c>
      <c r="D19" s="39">
        <f>IF(C19&gt;12000,"Especialista",IF(C19&gt;8000,"Senior",IF(C19&gt;5000,"Pleno","Junior")))</f>
        <v/>
      </c>
      <c r="E19" s="39">
        <f>_xlfn.IFS(C19&gt;12000,"Especialista",C19&gt;8000,"Senior",C19&gt;5000,"Pleno",TRUE,"Junior")</f>
        <v/>
      </c>
      <c r="F19" s="40">
        <f>IF(C19&gt;10000,"Alto",IF(C19&gt;6000,"Medio","Baixo"))</f>
        <v/>
      </c>
      <c r="G19" s="40">
        <f>IF(Dados!H19="Sim","Ativo","Inativo")</f>
        <v/>
      </c>
    </row>
    <row r="20">
      <c r="A20" s="41" t="inlineStr">
        <is>
          <t>Daniela</t>
        </is>
      </c>
      <c r="B20" s="41" t="inlineStr"/>
      <c r="C20" s="42" t="n">
        <v>7324.01</v>
      </c>
      <c r="D20" s="39">
        <f>IF(C20&gt;12000,"Especialista",IF(C20&gt;8000,"Senior",IF(C20&gt;5000,"Pleno","Junior")))</f>
        <v/>
      </c>
      <c r="E20" s="39">
        <f>_xlfn.IFS(C20&gt;12000,"Especialista",C20&gt;8000,"Senior",C20&gt;5000,"Pleno",TRUE,"Junior")</f>
        <v/>
      </c>
      <c r="F20" s="40">
        <f>IF(C20&gt;10000,"Alto",IF(C20&gt;6000,"Medio","Baixo"))</f>
        <v/>
      </c>
      <c r="G20" s="40">
        <f>IF(Dados!H20="Sim","Ativo","Inativo")</f>
        <v/>
      </c>
    </row>
    <row r="21">
      <c r="A21" s="37" t="inlineStr">
        <is>
          <t>Rodrigo</t>
        </is>
      </c>
      <c r="B21" s="37" t="inlineStr">
        <is>
          <t>RH</t>
        </is>
      </c>
      <c r="C21" s="38" t="n">
        <v>6842.01</v>
      </c>
      <c r="D21" s="39">
        <f>IF(C21&gt;12000,"Especialista",IF(C21&gt;8000,"Senior",IF(C21&gt;5000,"Pleno","Junior")))</f>
        <v/>
      </c>
      <c r="E21" s="39">
        <f>_xlfn.IFS(C21&gt;12000,"Especialista",C21&gt;8000,"Senior",C21&gt;5000,"Pleno",TRUE,"Junior")</f>
        <v/>
      </c>
      <c r="F21" s="40">
        <f>IF(C21&gt;10000,"Alto",IF(C21&gt;6000,"Medio","Baixo"))</f>
        <v/>
      </c>
      <c r="G21" s="40">
        <f>IF(Dados!H21="Sim","Ativo","Inativo")</f>
        <v/>
      </c>
    </row>
    <row r="22">
      <c r="A22" s="41" t="inlineStr">
        <is>
          <t>Amanda</t>
        </is>
      </c>
      <c r="B22" s="41" t="inlineStr">
        <is>
          <t>Vendas</t>
        </is>
      </c>
      <c r="C22" s="42" t="n">
        <v>10267.47</v>
      </c>
      <c r="D22" s="39">
        <f>IF(C22&gt;12000,"Especialista",IF(C22&gt;8000,"Senior",IF(C22&gt;5000,"Pleno","Junior")))</f>
        <v/>
      </c>
      <c r="E22" s="39">
        <f>_xlfn.IFS(C22&gt;12000,"Especialista",C22&gt;8000,"Senior",C22&gt;5000,"Pleno",TRUE,"Junior")</f>
        <v/>
      </c>
      <c r="F22" s="40">
        <f>IF(C22&gt;10000,"Alto",IF(C22&gt;6000,"Medio","Baixo"))</f>
        <v/>
      </c>
      <c r="G22" s="40">
        <f>IF(Dados!H22="Sim","Ativo","Inativo")</f>
        <v/>
      </c>
    </row>
    <row r="23">
      <c r="A23" s="37" t="inlineStr">
        <is>
          <t>Gustavo</t>
        </is>
      </c>
      <c r="B23" s="37" t="inlineStr">
        <is>
          <t>Operações</t>
        </is>
      </c>
      <c r="C23" s="38" t="n">
        <v>3175.8</v>
      </c>
      <c r="D23" s="39">
        <f>IF(C23&gt;12000,"Especialista",IF(C23&gt;8000,"Senior",IF(C23&gt;5000,"Pleno","Junior")))</f>
        <v/>
      </c>
      <c r="E23" s="39">
        <f>_xlfn.IFS(C23&gt;12000,"Especialista",C23&gt;8000,"Senior",C23&gt;5000,"Pleno",TRUE,"Junior")</f>
        <v/>
      </c>
      <c r="F23" s="40">
        <f>IF(C23&gt;10000,"Alto",IF(C23&gt;6000,"Medio","Baixo"))</f>
        <v/>
      </c>
      <c r="G23" s="40">
        <f>IF(Dados!H23="Sim","Ativo","Inativo")</f>
        <v/>
      </c>
    </row>
    <row r="24">
      <c r="A24" s="41" t="inlineStr">
        <is>
          <t>Vanessa</t>
        </is>
      </c>
      <c r="B24" s="41" t="inlineStr">
        <is>
          <t>RH</t>
        </is>
      </c>
      <c r="C24" s="42" t="n">
        <v>5123.74</v>
      </c>
      <c r="D24" s="39">
        <f>IF(C24&gt;12000,"Especialista",IF(C24&gt;8000,"Senior",IF(C24&gt;5000,"Pleno","Junior")))</f>
        <v/>
      </c>
      <c r="E24" s="39">
        <f>_xlfn.IFS(C24&gt;12000,"Especialista",C24&gt;8000,"Senior",C24&gt;5000,"Pleno",TRUE,"Junior")</f>
        <v/>
      </c>
      <c r="F24" s="40">
        <f>IF(C24&gt;10000,"Alto",IF(C24&gt;6000,"Medio","Baixo"))</f>
        <v/>
      </c>
      <c r="G24" s="40">
        <f>IF(Dados!H24="Sim","Ativo","Inativo")</f>
        <v/>
      </c>
    </row>
    <row r="25">
      <c r="A25" s="37" t="inlineStr">
        <is>
          <t>Eduardo</t>
        </is>
      </c>
      <c r="B25" s="37" t="inlineStr">
        <is>
          <t>TI</t>
        </is>
      </c>
      <c r="C25" s="38" t="n"/>
      <c r="D25" s="39">
        <f>IF(C25&gt;12000,"Especialista",IF(C25&gt;8000,"Senior",IF(C25&gt;5000,"Pleno","Junior")))</f>
        <v/>
      </c>
      <c r="E25" s="39">
        <f>_xlfn.IFS(C25&gt;12000,"Especialista",C25&gt;8000,"Senior",C25&gt;5000,"Pleno",TRUE,"Junior")</f>
        <v/>
      </c>
      <c r="F25" s="40">
        <f>IF(C25&gt;10000,"Alto",IF(C25&gt;6000,"Medio","Baixo"))</f>
        <v/>
      </c>
      <c r="G25" s="40">
        <f>IF(Dados!H25="Sim","Ativo","Inativo")</f>
        <v/>
      </c>
    </row>
    <row r="26">
      <c r="A26" s="41" t="inlineStr">
        <is>
          <t>Aline</t>
        </is>
      </c>
      <c r="B26" s="41" t="inlineStr">
        <is>
          <t>Financeiro</t>
        </is>
      </c>
      <c r="C26" s="42" t="n">
        <v>9364.59</v>
      </c>
      <c r="D26" s="39">
        <f>IF(C26&gt;12000,"Especialista",IF(C26&gt;8000,"Senior",IF(C26&gt;5000,"Pleno","Junior")))</f>
        <v/>
      </c>
      <c r="E26" s="39">
        <f>_xlfn.IFS(C26&gt;12000,"Especialista",C26&gt;8000,"Senior",C26&gt;5000,"Pleno",TRUE,"Junior")</f>
        <v/>
      </c>
      <c r="F26" s="40">
        <f>IF(C26&gt;10000,"Alto",IF(C26&gt;6000,"Medio","Baixo"))</f>
        <v/>
      </c>
      <c r="G26" s="40">
        <f>IF(Dados!H26="Sim","Ativo","Inativo")</f>
        <v/>
      </c>
    </row>
    <row r="27">
      <c r="A27" s="37" t="inlineStr">
        <is>
          <t>Marcos</t>
        </is>
      </c>
      <c r="B27" s="37" t="inlineStr">
        <is>
          <t>Marketing</t>
        </is>
      </c>
      <c r="C27" s="38" t="n">
        <v>8983.799999999999</v>
      </c>
      <c r="D27" s="39">
        <f>IF(C27&gt;12000,"Especialista",IF(C27&gt;8000,"Senior",IF(C27&gt;5000,"Pleno","Junior")))</f>
        <v/>
      </c>
      <c r="E27" s="39">
        <f>_xlfn.IFS(C27&gt;12000,"Especialista",C27&gt;8000,"Senior",C27&gt;5000,"Pleno",TRUE,"Junior")</f>
        <v/>
      </c>
      <c r="F27" s="40">
        <f>IF(C27&gt;10000,"Alto",IF(C27&gt;6000,"Medio","Baixo"))</f>
        <v/>
      </c>
      <c r="G27" s="40">
        <f>IF(Dados!H27="Sim","Ativo","Inativo")</f>
        <v/>
      </c>
    </row>
    <row r="28">
      <c r="A28" s="41" t="inlineStr">
        <is>
          <t>Cristina</t>
        </is>
      </c>
      <c r="B28" s="41" t="inlineStr">
        <is>
          <t>TI</t>
        </is>
      </c>
      <c r="C28" s="42" t="n">
        <v>5890.78</v>
      </c>
      <c r="D28" s="39">
        <f>IF(C28&gt;12000,"Especialista",IF(C28&gt;8000,"Senior",IF(C28&gt;5000,"Pleno","Junior")))</f>
        <v/>
      </c>
      <c r="E28" s="39">
        <f>_xlfn.IFS(C28&gt;12000,"Especialista",C28&gt;8000,"Senior",C28&gt;5000,"Pleno",TRUE,"Junior")</f>
        <v/>
      </c>
      <c r="F28" s="40">
        <f>IF(C28&gt;10000,"Alto",IF(C28&gt;6000,"Medio","Baixo"))</f>
        <v/>
      </c>
      <c r="G28" s="40">
        <f>IF(Dados!H28="Sim","Ativo","Inativo")</f>
        <v/>
      </c>
    </row>
    <row r="29">
      <c r="A29" s="37" t="inlineStr">
        <is>
          <t>Leonardo</t>
        </is>
      </c>
      <c r="B29" s="37" t="inlineStr">
        <is>
          <t>TI</t>
        </is>
      </c>
      <c r="C29" s="38" t="n">
        <v>10449.92</v>
      </c>
      <c r="D29" s="39">
        <f>IF(C29&gt;12000,"Especialista",IF(C29&gt;8000,"Senior",IF(C29&gt;5000,"Pleno","Junior")))</f>
        <v/>
      </c>
      <c r="E29" s="39">
        <f>_xlfn.IFS(C29&gt;12000,"Especialista",C29&gt;8000,"Senior",C29&gt;5000,"Pleno",TRUE,"Junior")</f>
        <v/>
      </c>
      <c r="F29" s="40">
        <f>IF(C29&gt;10000,"Alto",IF(C29&gt;6000,"Medio","Baixo"))</f>
        <v/>
      </c>
      <c r="G29" s="40">
        <f>IF(Dados!H29="Sim","Ativo","Inativo")</f>
        <v/>
      </c>
    </row>
    <row r="30">
      <c r="A30" s="41" t="inlineStr">
        <is>
          <t>Priscila</t>
        </is>
      </c>
      <c r="B30" s="41" t="inlineStr"/>
      <c r="C30" s="42" t="n">
        <v>12224.44</v>
      </c>
      <c r="D30" s="39">
        <f>IF(C30&gt;12000,"Especialista",IF(C30&gt;8000,"Senior",IF(C30&gt;5000,"Pleno","Junior")))</f>
        <v/>
      </c>
      <c r="E30" s="39">
        <f>_xlfn.IFS(C30&gt;12000,"Especialista",C30&gt;8000,"Senior",C30&gt;5000,"Pleno",TRUE,"Junior")</f>
        <v/>
      </c>
      <c r="F30" s="40">
        <f>IF(C30&gt;10000,"Alto",IF(C30&gt;6000,"Medio","Baixo"))</f>
        <v/>
      </c>
      <c r="G30" s="40">
        <f>IF(Dados!H30="Sim","Ativo","Inativo")</f>
        <v/>
      </c>
    </row>
    <row r="31">
      <c r="A31" s="37" t="inlineStr">
        <is>
          <t>André</t>
        </is>
      </c>
      <c r="B31" s="37" t="inlineStr">
        <is>
          <t>Marketing</t>
        </is>
      </c>
      <c r="C31" s="38" t="n">
        <v>7047.08</v>
      </c>
      <c r="D31" s="39">
        <f>IF(C31&gt;12000,"Especialista",IF(C31&gt;8000,"Senior",IF(C31&gt;5000,"Pleno","Junior")))</f>
        <v/>
      </c>
      <c r="E31" s="39">
        <f>_xlfn.IFS(C31&gt;12000,"Especialista",C31&gt;8000,"Senior",C31&gt;5000,"Pleno",TRUE,"Junior")</f>
        <v/>
      </c>
      <c r="F31" s="40">
        <f>IF(C31&gt;10000,"Alto",IF(C31&gt;6000,"Medio","Baixo"))</f>
        <v/>
      </c>
      <c r="G31" s="40">
        <f>IF(Dados!H31="Sim","Ativo","Inativo")</f>
        <v/>
      </c>
    </row>
    <row r="32">
      <c r="A32" s="41" t="inlineStr">
        <is>
          <t>Tatiana</t>
        </is>
      </c>
      <c r="B32" s="41" t="inlineStr">
        <is>
          <t>Operações</t>
        </is>
      </c>
      <c r="C32" s="42" t="n">
        <v>6592.4</v>
      </c>
      <c r="D32" s="39">
        <f>IF(C32&gt;12000,"Especialista",IF(C32&gt;8000,"Senior",IF(C32&gt;5000,"Pleno","Junior")))</f>
        <v/>
      </c>
      <c r="E32" s="39">
        <f>_xlfn.IFS(C32&gt;12000,"Especialista",C32&gt;8000,"Senior",C32&gt;5000,"Pleno",TRUE,"Junior")</f>
        <v/>
      </c>
      <c r="F32" s="40">
        <f>IF(C32&gt;10000,"Alto",IF(C32&gt;6000,"Medio","Baixo"))</f>
        <v/>
      </c>
      <c r="G32" s="40">
        <f>IF(Dados!H32="Sim","Ativo","Inativo")</f>
        <v/>
      </c>
    </row>
    <row r="33">
      <c r="A33" s="37" t="inlineStr">
        <is>
          <t>Vinícius</t>
        </is>
      </c>
      <c r="B33" s="37" t="inlineStr">
        <is>
          <t>TI</t>
        </is>
      </c>
      <c r="C33" s="38" t="n">
        <v>14651.42</v>
      </c>
      <c r="D33" s="39">
        <f>IF(C33&gt;12000,"Especialista",IF(C33&gt;8000,"Senior",IF(C33&gt;5000,"Pleno","Junior")))</f>
        <v/>
      </c>
      <c r="E33" s="39">
        <f>_xlfn.IFS(C33&gt;12000,"Especialista",C33&gt;8000,"Senior",C33&gt;5000,"Pleno",TRUE,"Junior")</f>
        <v/>
      </c>
      <c r="F33" s="40">
        <f>IF(C33&gt;10000,"Alto",IF(C33&gt;6000,"Medio","Baixo"))</f>
        <v/>
      </c>
      <c r="G33" s="40">
        <f>IF(Dados!H33="Sim","Ativo","Inativo")</f>
        <v/>
      </c>
    </row>
    <row r="34">
      <c r="A34" s="41" t="inlineStr">
        <is>
          <t>Mariana</t>
        </is>
      </c>
      <c r="B34" s="41" t="inlineStr">
        <is>
          <t>Marketing</t>
        </is>
      </c>
      <c r="C34" s="42" t="n">
        <v>5008.97</v>
      </c>
      <c r="D34" s="39">
        <f>IF(C34&gt;12000,"Especialista",IF(C34&gt;8000,"Senior",IF(C34&gt;5000,"Pleno","Junior")))</f>
        <v/>
      </c>
      <c r="E34" s="39">
        <f>_xlfn.IFS(C34&gt;12000,"Especialista",C34&gt;8000,"Senior",C34&gt;5000,"Pleno",TRUE,"Junior")</f>
        <v/>
      </c>
      <c r="F34" s="40">
        <f>IF(C34&gt;10000,"Alto",IF(C34&gt;6000,"Medio","Baixo"))</f>
        <v/>
      </c>
      <c r="G34" s="40">
        <f>IF(Dados!H34="Sim","Ativo","Inativo")</f>
        <v/>
      </c>
    </row>
    <row r="35">
      <c r="A35" s="37" t="inlineStr">
        <is>
          <t>Leandro</t>
        </is>
      </c>
      <c r="B35" s="37" t="inlineStr"/>
      <c r="C35" s="38" t="n">
        <v>8318</v>
      </c>
      <c r="D35" s="39">
        <f>IF(C35&gt;12000,"Especialista",IF(C35&gt;8000,"Senior",IF(C35&gt;5000,"Pleno","Junior")))</f>
        <v/>
      </c>
      <c r="E35" s="39">
        <f>_xlfn.IFS(C35&gt;12000,"Especialista",C35&gt;8000,"Senior",C35&gt;5000,"Pleno",TRUE,"Junior")</f>
        <v/>
      </c>
      <c r="F35" s="40">
        <f>IF(C35&gt;10000,"Alto",IF(C35&gt;6000,"Medio","Baixo"))</f>
        <v/>
      </c>
      <c r="G35" s="40">
        <f>IF(Dados!H35="Sim","Ativo","Inativo")</f>
        <v/>
      </c>
    </row>
    <row r="36">
      <c r="A36" s="41" t="inlineStr">
        <is>
          <t>Beatriz</t>
        </is>
      </c>
      <c r="B36" s="41" t="inlineStr">
        <is>
          <t>Marketing</t>
        </is>
      </c>
      <c r="C36" s="42" t="n">
        <v>9676.76</v>
      </c>
      <c r="D36" s="39">
        <f>IF(C36&gt;12000,"Especialista",IF(C36&gt;8000,"Senior",IF(C36&gt;5000,"Pleno","Junior")))</f>
        <v/>
      </c>
      <c r="E36" s="39">
        <f>_xlfn.IFS(C36&gt;12000,"Especialista",C36&gt;8000,"Senior",C36&gt;5000,"Pleno",TRUE,"Junior")</f>
        <v/>
      </c>
      <c r="F36" s="40">
        <f>IF(C36&gt;10000,"Alto",IF(C36&gt;6000,"Medio","Baixo"))</f>
        <v/>
      </c>
      <c r="G36" s="40">
        <f>IF(Dados!H36="Sim","Ativo","Inativo")</f>
        <v/>
      </c>
    </row>
    <row r="37">
      <c r="A37" s="37" t="inlineStr">
        <is>
          <t>Ricardo</t>
        </is>
      </c>
      <c r="B37" s="37" t="inlineStr">
        <is>
          <t>TI</t>
        </is>
      </c>
      <c r="C37" s="38" t="n">
        <v>7730.99</v>
      </c>
      <c r="D37" s="39">
        <f>IF(C37&gt;12000,"Especialista",IF(C37&gt;8000,"Senior",IF(C37&gt;5000,"Pleno","Junior")))</f>
        <v/>
      </c>
      <c r="E37" s="39">
        <f>_xlfn.IFS(C37&gt;12000,"Especialista",C37&gt;8000,"Senior",C37&gt;5000,"Pleno",TRUE,"Junior")</f>
        <v/>
      </c>
      <c r="F37" s="40">
        <f>IF(C37&gt;10000,"Alto",IF(C37&gt;6000,"Medio","Baixo"))</f>
        <v/>
      </c>
      <c r="G37" s="40">
        <f>IF(Dados!H37="Sim","Ativo","Inativo")</f>
        <v/>
      </c>
    </row>
    <row r="38">
      <c r="A38" s="41" t="inlineStr">
        <is>
          <t>Érica</t>
        </is>
      </c>
      <c r="B38" s="41" t="inlineStr">
        <is>
          <t>Vendas</t>
        </is>
      </c>
      <c r="C38" s="42" t="n">
        <v>10781.45</v>
      </c>
      <c r="D38" s="39">
        <f>IF(C38&gt;12000,"Especialista",IF(C38&gt;8000,"Senior",IF(C38&gt;5000,"Pleno","Junior")))</f>
        <v/>
      </c>
      <c r="E38" s="39">
        <f>_xlfn.IFS(C38&gt;12000,"Especialista",C38&gt;8000,"Senior",C38&gt;5000,"Pleno",TRUE,"Junior")</f>
        <v/>
      </c>
      <c r="F38" s="40">
        <f>IF(C38&gt;10000,"Alto",IF(C38&gt;6000,"Medio","Baixo"))</f>
        <v/>
      </c>
      <c r="G38" s="40">
        <f>IF(Dados!H38="Sim","Ativo","Inativo")</f>
        <v/>
      </c>
    </row>
    <row r="39">
      <c r="A39" s="37" t="inlineStr">
        <is>
          <t>Matheus</t>
        </is>
      </c>
      <c r="B39" s="37" t="inlineStr">
        <is>
          <t>Operações</t>
        </is>
      </c>
      <c r="C39" s="38" t="n">
        <v>4454.2</v>
      </c>
      <c r="D39" s="39">
        <f>IF(C39&gt;12000,"Especialista",IF(C39&gt;8000,"Senior",IF(C39&gt;5000,"Pleno","Junior")))</f>
        <v/>
      </c>
      <c r="E39" s="39">
        <f>_xlfn.IFS(C39&gt;12000,"Especialista",C39&gt;8000,"Senior",C39&gt;5000,"Pleno",TRUE,"Junior")</f>
        <v/>
      </c>
      <c r="F39" s="40">
        <f>IF(C39&gt;10000,"Alto",IF(C39&gt;6000,"Medio","Baixo"))</f>
        <v/>
      </c>
      <c r="G39" s="40">
        <f>IF(Dados!H39="Sim","Ativo","Inativo")</f>
        <v/>
      </c>
    </row>
    <row r="40">
      <c r="A40" s="41" t="inlineStr">
        <is>
          <t>Letícia</t>
        </is>
      </c>
      <c r="B40" s="41" t="inlineStr">
        <is>
          <t>RH</t>
        </is>
      </c>
      <c r="C40" s="42" t="n">
        <v>4949</v>
      </c>
      <c r="D40" s="39">
        <f>IF(C40&gt;12000,"Especialista",IF(C40&gt;8000,"Senior",IF(C40&gt;5000,"Pleno","Junior")))</f>
        <v/>
      </c>
      <c r="E40" s="39">
        <f>_xlfn.IFS(C40&gt;12000,"Especialista",C40&gt;8000,"Senior",C40&gt;5000,"Pleno",TRUE,"Junior")</f>
        <v/>
      </c>
      <c r="F40" s="40">
        <f>IF(C40&gt;10000,"Alto",IF(C40&gt;6000,"Medio","Baixo"))</f>
        <v/>
      </c>
      <c r="G40" s="40">
        <f>IF(Dados!H40="Sim","Ativo","Inativo")</f>
        <v/>
      </c>
    </row>
    <row r="41">
      <c r="A41" s="37" t="inlineStr">
        <is>
          <t>Fábio</t>
        </is>
      </c>
      <c r="B41" s="37" t="inlineStr">
        <is>
          <t>Marketing</t>
        </is>
      </c>
      <c r="C41" s="38" t="n">
        <v>8436.139999999999</v>
      </c>
      <c r="D41" s="39">
        <f>IF(C41&gt;12000,"Especialista",IF(C41&gt;8000,"Senior",IF(C41&gt;5000,"Pleno","Junior")))</f>
        <v/>
      </c>
      <c r="E41" s="39">
        <f>_xlfn.IFS(C41&gt;12000,"Especialista",C41&gt;8000,"Senior",C41&gt;5000,"Pleno",TRUE,"Junior")</f>
        <v/>
      </c>
      <c r="F41" s="40">
        <f>IF(C41&gt;10000,"Alto",IF(C41&gt;6000,"Medio","Baixo"))</f>
        <v/>
      </c>
      <c r="G41" s="40">
        <f>IF(Dados!H41="Sim","Ativo","Inativo")</f>
        <v/>
      </c>
    </row>
    <row r="42">
      <c r="A42" s="41" t="inlineStr">
        <is>
          <t>Natália</t>
        </is>
      </c>
      <c r="B42" s="41" t="inlineStr">
        <is>
          <t>RH</t>
        </is>
      </c>
      <c r="C42" s="42" t="n">
        <v>4204.62</v>
      </c>
      <c r="D42" s="39">
        <f>IF(C42&gt;12000,"Especialista",IF(C42&gt;8000,"Senior",IF(C42&gt;5000,"Pleno","Junior")))</f>
        <v/>
      </c>
      <c r="E42" s="39">
        <f>_xlfn.IFS(C42&gt;12000,"Especialista",C42&gt;8000,"Senior",C42&gt;5000,"Pleno",TRUE,"Junior")</f>
        <v/>
      </c>
      <c r="F42" s="40">
        <f>IF(C42&gt;10000,"Alto",IF(C42&gt;6000,"Medio","Baixo"))</f>
        <v/>
      </c>
      <c r="G42" s="40">
        <f>IF(Dados!H42="Sim","Ativo","Inativo")</f>
        <v/>
      </c>
    </row>
    <row r="43">
      <c r="A43" s="37" t="inlineStr">
        <is>
          <t>Henrique</t>
        </is>
      </c>
      <c r="B43" s="37" t="inlineStr">
        <is>
          <t>Vendas</t>
        </is>
      </c>
      <c r="C43" s="38" t="n">
        <v>3399.48</v>
      </c>
      <c r="D43" s="39">
        <f>IF(C43&gt;12000,"Especialista",IF(C43&gt;8000,"Senior",IF(C43&gt;5000,"Pleno","Junior")))</f>
        <v/>
      </c>
      <c r="E43" s="39">
        <f>_xlfn.IFS(C43&gt;12000,"Especialista",C43&gt;8000,"Senior",C43&gt;5000,"Pleno",TRUE,"Junior")</f>
        <v/>
      </c>
      <c r="F43" s="40">
        <f>IF(C43&gt;10000,"Alto",IF(C43&gt;6000,"Medio","Baixo"))</f>
        <v/>
      </c>
      <c r="G43" s="40">
        <f>IF(Dados!H43="Sim","Ativo","Inativo")</f>
        <v/>
      </c>
    </row>
    <row r="44">
      <c r="A44" s="41" t="inlineStr">
        <is>
          <t>Sabrina</t>
        </is>
      </c>
      <c r="B44" s="41" t="inlineStr">
        <is>
          <t>Financeiro</t>
        </is>
      </c>
      <c r="C44" s="42" t="n">
        <v>15412.06</v>
      </c>
      <c r="D44" s="39">
        <f>IF(C44&gt;12000,"Especialista",IF(C44&gt;8000,"Senior",IF(C44&gt;5000,"Pleno","Junior")))</f>
        <v/>
      </c>
      <c r="E44" s="39">
        <f>_xlfn.IFS(C44&gt;12000,"Especialista",C44&gt;8000,"Senior",C44&gt;5000,"Pleno",TRUE,"Junior")</f>
        <v/>
      </c>
      <c r="F44" s="40">
        <f>IF(C44&gt;10000,"Alto",IF(C44&gt;6000,"Medio","Baixo"))</f>
        <v/>
      </c>
      <c r="G44" s="40">
        <f>IF(Dados!H44="Sim","Ativo","Inativo")</f>
        <v/>
      </c>
    </row>
    <row r="45">
      <c r="A45" s="37" t="inlineStr">
        <is>
          <t>Igor</t>
        </is>
      </c>
      <c r="B45" s="37" t="inlineStr">
        <is>
          <t>Financeiro</t>
        </is>
      </c>
      <c r="C45" s="38" t="n">
        <v>10875.74</v>
      </c>
      <c r="D45" s="39">
        <f>IF(C45&gt;12000,"Especialista",IF(C45&gt;8000,"Senior",IF(C45&gt;5000,"Pleno","Junior")))</f>
        <v/>
      </c>
      <c r="E45" s="39">
        <f>_xlfn.IFS(C45&gt;12000,"Especialista",C45&gt;8000,"Senior",C45&gt;5000,"Pleno",TRUE,"Junior")</f>
        <v/>
      </c>
      <c r="F45" s="40">
        <f>IF(C45&gt;10000,"Alto",IF(C45&gt;6000,"Medio","Baixo"))</f>
        <v/>
      </c>
      <c r="G45" s="40">
        <f>IF(Dados!H45="Sim","Ativo","Inativo")</f>
        <v/>
      </c>
    </row>
    <row r="46">
      <c r="A46" s="41" t="inlineStr">
        <is>
          <t>Carla</t>
        </is>
      </c>
      <c r="B46" s="41" t="inlineStr">
        <is>
          <t>Marketing</t>
        </is>
      </c>
      <c r="C46" s="42" t="n">
        <v>5431</v>
      </c>
      <c r="D46" s="39">
        <f>IF(C46&gt;12000,"Especialista",IF(C46&gt;8000,"Senior",IF(C46&gt;5000,"Pleno","Junior")))</f>
        <v/>
      </c>
      <c r="E46" s="39">
        <f>_xlfn.IFS(C46&gt;12000,"Especialista",C46&gt;8000,"Senior",C46&gt;5000,"Pleno",TRUE,"Junior")</f>
        <v/>
      </c>
      <c r="F46" s="40">
        <f>IF(C46&gt;10000,"Alto",IF(C46&gt;6000,"Medio","Baixo"))</f>
        <v/>
      </c>
      <c r="G46" s="40">
        <f>IF(Dados!H46="Sim","Ativo","Inativo")</f>
        <v/>
      </c>
    </row>
    <row r="47">
      <c r="A47" s="37" t="inlineStr">
        <is>
          <t>Otávio</t>
        </is>
      </c>
      <c r="B47" s="37" t="inlineStr">
        <is>
          <t>Marketing</t>
        </is>
      </c>
      <c r="C47" s="38" t="n">
        <v>9349.879999999999</v>
      </c>
      <c r="D47" s="39">
        <f>IF(C47&gt;12000,"Especialista",IF(C47&gt;8000,"Senior",IF(C47&gt;5000,"Pleno","Junior")))</f>
        <v/>
      </c>
      <c r="E47" s="39">
        <f>_xlfn.IFS(C47&gt;12000,"Especialista",C47&gt;8000,"Senior",C47&gt;5000,"Pleno",TRUE,"Junior")</f>
        <v/>
      </c>
      <c r="F47" s="40">
        <f>IF(C47&gt;10000,"Alto",IF(C47&gt;6000,"Medio","Baixo"))</f>
        <v/>
      </c>
      <c r="G47" s="40">
        <f>IF(Dados!H47="Sim","Ativo","Inativo")</f>
        <v/>
      </c>
    </row>
    <row r="48">
      <c r="A48" s="41" t="inlineStr">
        <is>
          <t>Simone</t>
        </is>
      </c>
      <c r="B48" s="41" t="inlineStr">
        <is>
          <t>Vendas</t>
        </is>
      </c>
      <c r="C48" s="42" t="n">
        <v>5021.77</v>
      </c>
      <c r="D48" s="39">
        <f>IF(C48&gt;12000,"Especialista",IF(C48&gt;8000,"Senior",IF(C48&gt;5000,"Pleno","Junior")))</f>
        <v/>
      </c>
      <c r="E48" s="39">
        <f>_xlfn.IFS(C48&gt;12000,"Especialista",C48&gt;8000,"Senior",C48&gt;5000,"Pleno",TRUE,"Junior")</f>
        <v/>
      </c>
      <c r="F48" s="40">
        <f>IF(C48&gt;10000,"Alto",IF(C48&gt;6000,"Medio","Baixo"))</f>
        <v/>
      </c>
      <c r="G48" s="40">
        <f>IF(Dados!H48="Sim","Ativo","Inativo")</f>
        <v/>
      </c>
    </row>
    <row r="49">
      <c r="A49" s="37" t="inlineStr">
        <is>
          <t>Gabriel</t>
        </is>
      </c>
      <c r="B49" s="37" t="inlineStr">
        <is>
          <t>Financeiro</t>
        </is>
      </c>
      <c r="C49" s="38" t="n">
        <v>12760.98</v>
      </c>
      <c r="D49" s="39">
        <f>IF(C49&gt;12000,"Especialista",IF(C49&gt;8000,"Senior",IF(C49&gt;5000,"Pleno","Junior")))</f>
        <v/>
      </c>
      <c r="E49" s="39">
        <f>_xlfn.IFS(C49&gt;12000,"Especialista",C49&gt;8000,"Senior",C49&gt;5000,"Pleno",TRUE,"Junior")</f>
        <v/>
      </c>
      <c r="F49" s="40">
        <f>IF(C49&gt;10000,"Alto",IF(C49&gt;6000,"Medio","Baixo"))</f>
        <v/>
      </c>
      <c r="G49" s="40">
        <f>IF(Dados!H49="Sim","Ativo","Inativo")</f>
        <v/>
      </c>
    </row>
    <row r="50">
      <c r="A50" s="41" t="inlineStr">
        <is>
          <t>Mônica</t>
        </is>
      </c>
      <c r="B50" s="41" t="inlineStr">
        <is>
          <t>TI</t>
        </is>
      </c>
      <c r="C50" s="42" t="n">
        <v>7844.93</v>
      </c>
      <c r="D50" s="39">
        <f>IF(C50&gt;12000,"Especialista",IF(C50&gt;8000,"Senior",IF(C50&gt;5000,"Pleno","Junior")))</f>
        <v/>
      </c>
      <c r="E50" s="39">
        <f>_xlfn.IFS(C50&gt;12000,"Especialista",C50&gt;8000,"Senior",C50&gt;5000,"Pleno",TRUE,"Junior")</f>
        <v/>
      </c>
      <c r="F50" s="40">
        <f>IF(C50&gt;10000,"Alto",IF(C50&gt;6000,"Medio","Baixo"))</f>
        <v/>
      </c>
      <c r="G50" s="40">
        <f>IF(Dados!H50="Sim","Ativo","Inativo")</f>
        <v/>
      </c>
    </row>
    <row r="51">
      <c r="A51" s="37" t="inlineStr">
        <is>
          <t>Marcelo</t>
        </is>
      </c>
      <c r="B51" s="37" t="inlineStr">
        <is>
          <t>Operações</t>
        </is>
      </c>
      <c r="C51" s="38" t="n">
        <v>8690.25</v>
      </c>
      <c r="D51" s="39">
        <f>IF(C51&gt;12000,"Especialista",IF(C51&gt;8000,"Senior",IF(C51&gt;5000,"Pleno","Junior")))</f>
        <v/>
      </c>
      <c r="E51" s="39">
        <f>_xlfn.IFS(C51&gt;12000,"Especialista",C51&gt;8000,"Senior",C51&gt;5000,"Pleno",TRUE,"Junior")</f>
        <v/>
      </c>
      <c r="F51" s="40">
        <f>IF(C51&gt;10000,"Alto",IF(C51&gt;6000,"Medio","Baixo"))</f>
        <v/>
      </c>
      <c r="G51" s="40">
        <f>IF(Dados!H51="Sim","Ativo","Inativo")</f>
        <v/>
      </c>
    </row>
    <row r="52">
      <c r="A52" s="41" t="inlineStr">
        <is>
          <t>Helena</t>
        </is>
      </c>
      <c r="B52" s="41" t="inlineStr">
        <is>
          <t>Financeiro</t>
        </is>
      </c>
      <c r="C52" s="42" t="n">
        <v>7480.7</v>
      </c>
      <c r="D52" s="39">
        <f>IF(C52&gt;12000,"Especialista",IF(C52&gt;8000,"Senior",IF(C52&gt;5000,"Pleno","Junior")))</f>
        <v/>
      </c>
      <c r="E52" s="39">
        <f>_xlfn.IFS(C52&gt;12000,"Especialista",C52&gt;8000,"Senior",C52&gt;5000,"Pleno",TRUE,"Junior")</f>
        <v/>
      </c>
      <c r="F52" s="40">
        <f>IF(C52&gt;10000,"Alto",IF(C52&gt;6000,"Medio","Baixo"))</f>
        <v/>
      </c>
      <c r="G52" s="40">
        <f>IF(Dados!H52="Sim","Ativo","Inativo")</f>
        <v/>
      </c>
    </row>
    <row r="53">
      <c r="A53" s="37" t="inlineStr">
        <is>
          <t>Pedro</t>
        </is>
      </c>
      <c r="B53" s="37" t="inlineStr">
        <is>
          <t>Financeiro</t>
        </is>
      </c>
      <c r="C53" s="38" t="n"/>
      <c r="D53" s="39">
        <f>IF(C53&gt;12000,"Especialista",IF(C53&gt;8000,"Senior",IF(C53&gt;5000,"Pleno","Junior")))</f>
        <v/>
      </c>
      <c r="E53" s="39">
        <f>_xlfn.IFS(C53&gt;12000,"Especialista",C53&gt;8000,"Senior",C53&gt;5000,"Pleno",TRUE,"Junior")</f>
        <v/>
      </c>
      <c r="F53" s="40">
        <f>IF(C53&gt;10000,"Alto",IF(C53&gt;6000,"Medio","Baixo"))</f>
        <v/>
      </c>
      <c r="G53" s="40">
        <f>IF(Dados!H53="Sim","Ativo","Inativo")</f>
        <v/>
      </c>
    </row>
    <row r="54">
      <c r="A54" s="41" t="inlineStr">
        <is>
          <t>Larissa</t>
        </is>
      </c>
      <c r="B54" s="41" t="inlineStr">
        <is>
          <t>TI</t>
        </is>
      </c>
      <c r="C54" s="42" t="n">
        <v>13862.23</v>
      </c>
      <c r="D54" s="39">
        <f>IF(C54&gt;12000,"Especialista",IF(C54&gt;8000,"Senior",IF(C54&gt;5000,"Pleno","Junior")))</f>
        <v/>
      </c>
      <c r="E54" s="39">
        <f>_xlfn.IFS(C54&gt;12000,"Especialista",C54&gt;8000,"Senior",C54&gt;5000,"Pleno",TRUE,"Junior")</f>
        <v/>
      </c>
      <c r="F54" s="40">
        <f>IF(C54&gt;10000,"Alto",IF(C54&gt;6000,"Medio","Baixo"))</f>
        <v/>
      </c>
      <c r="G54" s="40">
        <f>IF(Dados!H54="Sim","Ativo","Inativo")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5" customWidth="1" min="4" max="4"/>
    <col width="22" customWidth="1" min="5" max="5"/>
    <col width="20" customWidth="1" min="6" max="6"/>
    <col width="22" customWidth="1" min="7" max="7"/>
  </cols>
  <sheetData>
    <row r="1" ht="25" customHeight="1">
      <c r="A1" s="13" t="inlineStr">
        <is>
          <t>Lookup — VLOOKUP, _xlfn.XLOOKUP, INDEX+MATCH</t>
        </is>
      </c>
    </row>
    <row r="2">
      <c r="A2" s="14" t="inlineStr">
        <is>
          <t>ID Buscado</t>
        </is>
      </c>
      <c r="B2" s="14" t="inlineStr">
        <is>
          <t>VLOOKUP — Nome</t>
        </is>
      </c>
      <c r="C2" s="14" t="inlineStr">
        <is>
          <t>VLOOKUP — Departamento</t>
        </is>
      </c>
      <c r="D2" s="14" t="inlineStr">
        <is>
          <t>VLOOKUP — Salario</t>
        </is>
      </c>
      <c r="E2" s="14" t="inlineStr">
        <is>
          <t>_xlfn.XLOOKUP — Cargo</t>
        </is>
      </c>
      <c r="F2" s="14" t="inlineStr">
        <is>
          <t>INDEX+MATCH — Cidade</t>
        </is>
      </c>
      <c r="G2" s="14" t="inlineStr">
        <is>
          <t>IFERROR — seguro</t>
        </is>
      </c>
    </row>
    <row r="3">
      <c r="A3" s="43" t="n">
        <v>1</v>
      </c>
      <c r="B3" s="44">
        <f>VLOOKUP(A3,Dados!$A$3:$H$54,2,FALSE)</f>
        <v/>
      </c>
      <c r="C3" s="44">
        <f>VLOOKUP(A3,Dados!$A$3:$H$54,3,FALSE)</f>
        <v/>
      </c>
      <c r="D3" s="45">
        <f>VLOOKUP(A3,Dados!$A$3:$H$54,6,FALSE)</f>
        <v/>
      </c>
      <c r="E3" s="46">
        <f>_xlfn.XLOOKUP(A3,Dados!$A$3:$A$54,Dados!$D$3:$D$54,"Nao encontrado")</f>
        <v/>
      </c>
      <c r="F3" s="47">
        <f>INDEX(Dados!$E$3:$E$54,MATCH(A3,Dados!$A$3:$A$54,0))</f>
        <v/>
      </c>
      <c r="G3" s="48">
        <f>IFERROR(VLOOKUP(A3,Dados!$A$3:$H$54,2,FALSE),"ID nao encontrado")</f>
        <v/>
      </c>
    </row>
    <row r="4">
      <c r="A4" s="43" t="n">
        <v>5</v>
      </c>
      <c r="B4" s="44">
        <f>VLOOKUP(A4,Dados!$A$3:$H$54,2,FALSE)</f>
        <v/>
      </c>
      <c r="C4" s="44">
        <f>VLOOKUP(A4,Dados!$A$3:$H$54,3,FALSE)</f>
        <v/>
      </c>
      <c r="D4" s="45">
        <f>VLOOKUP(A4,Dados!$A$3:$H$54,6,FALSE)</f>
        <v/>
      </c>
      <c r="E4" s="46">
        <f>_xlfn.XLOOKUP(A4,Dados!$A$3:$A$54,Dados!$D$3:$D$54,"Nao encontrado")</f>
        <v/>
      </c>
      <c r="F4" s="47">
        <f>INDEX(Dados!$E$3:$E$54,MATCH(A4,Dados!$A$3:$A$54,0))</f>
        <v/>
      </c>
      <c r="G4" s="48">
        <f>IFERROR(VLOOKUP(A4,Dados!$A$3:$H$54,2,FALSE),"ID nao encontrado")</f>
        <v/>
      </c>
    </row>
    <row r="5">
      <c r="A5" s="43" t="n">
        <v>10</v>
      </c>
      <c r="B5" s="44">
        <f>VLOOKUP(A5,Dados!$A$3:$H$54,2,FALSE)</f>
        <v/>
      </c>
      <c r="C5" s="44">
        <f>VLOOKUP(A5,Dados!$A$3:$H$54,3,FALSE)</f>
        <v/>
      </c>
      <c r="D5" s="45">
        <f>VLOOKUP(A5,Dados!$A$3:$H$54,6,FALSE)</f>
        <v/>
      </c>
      <c r="E5" s="46">
        <f>_xlfn.XLOOKUP(A5,Dados!$A$3:$A$54,Dados!$D$3:$D$54,"Nao encontrado")</f>
        <v/>
      </c>
      <c r="F5" s="47">
        <f>INDEX(Dados!$E$3:$E$54,MATCH(A5,Dados!$A$3:$A$54,0))</f>
        <v/>
      </c>
      <c r="G5" s="48">
        <f>IFERROR(VLOOKUP(A5,Dados!$A$3:$H$54,2,FALSE),"ID nao encontrado")</f>
        <v/>
      </c>
    </row>
    <row r="6">
      <c r="A6" s="43" t="n">
        <v>20</v>
      </c>
      <c r="B6" s="44">
        <f>VLOOKUP(A6,Dados!$A$3:$H$54,2,FALSE)</f>
        <v/>
      </c>
      <c r="C6" s="44">
        <f>VLOOKUP(A6,Dados!$A$3:$H$54,3,FALSE)</f>
        <v/>
      </c>
      <c r="D6" s="45">
        <f>VLOOKUP(A6,Dados!$A$3:$H$54,6,FALSE)</f>
        <v/>
      </c>
      <c r="E6" s="46">
        <f>_xlfn.XLOOKUP(A6,Dados!$A$3:$A$54,Dados!$D$3:$D$54,"Nao encontrado")</f>
        <v/>
      </c>
      <c r="F6" s="47">
        <f>INDEX(Dados!$E$3:$E$54,MATCH(A6,Dados!$A$3:$A$54,0))</f>
        <v/>
      </c>
      <c r="G6" s="48">
        <f>IFERROR(VLOOKUP(A6,Dados!$A$3:$H$54,2,FALSE),"ID nao encontrado")</f>
        <v/>
      </c>
    </row>
    <row r="7">
      <c r="A7" s="43" t="n">
        <v>35</v>
      </c>
      <c r="B7" s="44">
        <f>VLOOKUP(A7,Dados!$A$3:$H$54,2,FALSE)</f>
        <v/>
      </c>
      <c r="C7" s="44">
        <f>VLOOKUP(A7,Dados!$A$3:$H$54,3,FALSE)</f>
        <v/>
      </c>
      <c r="D7" s="45">
        <f>VLOOKUP(A7,Dados!$A$3:$H$54,6,FALSE)</f>
        <v/>
      </c>
      <c r="E7" s="46">
        <f>_xlfn.XLOOKUP(A7,Dados!$A$3:$A$54,Dados!$D$3:$D$54,"Nao encontrado")</f>
        <v/>
      </c>
      <c r="F7" s="47">
        <f>INDEX(Dados!$E$3:$E$54,MATCH(A7,Dados!$A$3:$A$54,0))</f>
        <v/>
      </c>
      <c r="G7" s="48">
        <f>IFERROR(VLOOKUP(A7,Dados!$A$3:$H$54,2,FALSE),"ID nao encontrado")</f>
        <v/>
      </c>
    </row>
    <row r="8">
      <c r="A8" s="43" t="n">
        <v>50</v>
      </c>
      <c r="B8" s="44">
        <f>VLOOKUP(A8,Dados!$A$3:$H$54,2,FALSE)</f>
        <v/>
      </c>
      <c r="C8" s="44">
        <f>VLOOKUP(A8,Dados!$A$3:$H$54,3,FALSE)</f>
        <v/>
      </c>
      <c r="D8" s="45">
        <f>VLOOKUP(A8,Dados!$A$3:$H$54,6,FALSE)</f>
        <v/>
      </c>
      <c r="E8" s="46">
        <f>_xlfn.XLOOKUP(A8,Dados!$A$3:$A$54,Dados!$D$3:$D$54,"Nao encontrado")</f>
        <v/>
      </c>
      <c r="F8" s="47">
        <f>INDEX(Dados!$E$3:$E$54,MATCH(A8,Dados!$A$3:$A$54,0))</f>
        <v/>
      </c>
      <c r="G8" s="48">
        <f>IFERROR(VLOOKUP(A8,Dados!$A$3:$H$54,2,FALSE),"ID nao encontrado")</f>
        <v/>
      </c>
    </row>
    <row r="9">
      <c r="A9" s="43" t="n">
        <v>99</v>
      </c>
      <c r="B9" s="44">
        <f>VLOOKUP(A9,Dados!$A$3:$H$54,2,FALSE)</f>
        <v/>
      </c>
      <c r="C9" s="44">
        <f>VLOOKUP(A9,Dados!$A$3:$H$54,3,FALSE)</f>
        <v/>
      </c>
      <c r="D9" s="45">
        <f>VLOOKUP(A9,Dados!$A$3:$H$54,6,FALSE)</f>
        <v/>
      </c>
      <c r="E9" s="46">
        <f>_xlfn.XLOOKUP(A9,Dados!$A$3:$A$54,Dados!$D$3:$D$54,"Nao encontrado")</f>
        <v/>
      </c>
      <c r="F9" s="47">
        <f>INDEX(Dados!$E$3:$E$54,MATCH(A9,Dados!$A$3:$A$54,0))</f>
        <v/>
      </c>
      <c r="G9" s="48">
        <f>IFERROR(VLOOKUP(A9,Dados!$A$3:$H$54,2,FALSE),"ID nao encontrado")</f>
        <v/>
      </c>
    </row>
    <row r="12">
      <c r="A12" s="21" t="inlineStr">
        <is>
          <t>Amarelo = VLOOKUP  |  Verde = _xlfn.XLOOKUP (Excel 365+)  |  Azul = INDEX+MATCH  |  Vermelho = IFERROR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24" customWidth="1" min="6" max="6"/>
    <col width="42" customWidth="1" min="7" max="7"/>
  </cols>
  <sheetData>
    <row r="1" ht="25" customHeight="1">
      <c r="A1" s="13" t="inlineStr">
        <is>
          <t>Metricas Avancadas — Ranking, Top N, Percentual</t>
        </is>
      </c>
    </row>
    <row r="2">
      <c r="A2" s="49" t="inlineStr">
        <is>
          <t>Nome</t>
        </is>
      </c>
      <c r="B2" s="49" t="inlineStr">
        <is>
          <t>Departamento</t>
        </is>
      </c>
      <c r="C2" s="49" t="inlineStr">
        <is>
          <t>Salario</t>
        </is>
      </c>
      <c r="D2" s="49" t="inlineStr">
        <is>
          <t>Ranking (RANK)</t>
        </is>
      </c>
      <c r="F2" s="50" t="inlineStr">
        <is>
          <t>Metrica</t>
        </is>
      </c>
      <c r="G2" s="50" t="inlineStr">
        <is>
          <t>Formula</t>
        </is>
      </c>
    </row>
    <row r="3">
      <c r="A3" s="37" t="inlineStr">
        <is>
          <t>Ana</t>
        </is>
      </c>
      <c r="B3" s="37" t="inlineStr">
        <is>
          <t>Operações</t>
        </is>
      </c>
      <c r="C3" s="38" t="n">
        <v>2955.07</v>
      </c>
      <c r="D3" s="44">
        <f>IF(ISBLANK(C3), "", RANK(C3,$C$3:$C$54,0))</f>
        <v/>
      </c>
      <c r="F3" s="15" t="inlineStr">
        <is>
          <t>1o maior salario</t>
        </is>
      </c>
      <c r="G3" s="19">
        <f>LARGE($C$3:$C$54,1)</f>
        <v/>
      </c>
    </row>
    <row r="4">
      <c r="A4" s="51" t="inlineStr">
        <is>
          <t>Carlos</t>
        </is>
      </c>
      <c r="B4" s="51" t="inlineStr"/>
      <c r="C4" s="52" t="n">
        <v>4842.67</v>
      </c>
      <c r="D4" s="44">
        <f>IF(ISBLANK(C4), "", RANK(C4,$C$3:$C$54,0))</f>
        <v/>
      </c>
      <c r="F4" s="15" t="inlineStr">
        <is>
          <t>2o maior salario</t>
        </is>
      </c>
      <c r="G4" s="19">
        <f>LARGE($C$3:$C$54,2)</f>
        <v/>
      </c>
    </row>
    <row r="5">
      <c r="A5" s="37" t="inlineStr">
        <is>
          <t>João</t>
        </is>
      </c>
      <c r="B5" s="37" t="inlineStr">
        <is>
          <t>Vendas</t>
        </is>
      </c>
      <c r="C5" s="38" t="n">
        <v>8303.389999999999</v>
      </c>
      <c r="D5" s="44">
        <f>IF(ISBLANK(C5), "", RANK(C5,$C$3:$C$54,0))</f>
        <v/>
      </c>
      <c r="F5" s="15" t="inlineStr">
        <is>
          <t>3o maior salario</t>
        </is>
      </c>
      <c r="G5" s="19">
        <f>LARGE($C$3:$C$54,3)</f>
        <v/>
      </c>
    </row>
    <row r="6">
      <c r="A6" s="51" t="inlineStr">
        <is>
          <t>Maria</t>
        </is>
      </c>
      <c r="B6" s="51" t="inlineStr">
        <is>
          <t>RH</t>
        </is>
      </c>
      <c r="C6" s="52" t="n">
        <v>4102.85</v>
      </c>
      <c r="D6" s="44">
        <f>IF(ISBLANK(C6), "", RANK(C6,$C$3:$C$54,0))</f>
        <v/>
      </c>
      <c r="F6" s="15" t="inlineStr">
        <is>
          <t>1o menor salario</t>
        </is>
      </c>
      <c r="G6" s="19">
        <f>SMALL($C$3:$C$54,1)</f>
        <v/>
      </c>
    </row>
    <row r="7">
      <c r="A7" s="37" t="inlineStr">
        <is>
          <t>Pedro</t>
        </is>
      </c>
      <c r="B7" s="37" t="inlineStr">
        <is>
          <t>Financeiro</t>
        </is>
      </c>
      <c r="C7" s="38" t="n"/>
      <c r="D7" s="44">
        <f>IF(ISBLANK(C7), "", RANK(C7,$C$3:$C$54,0))</f>
        <v/>
      </c>
      <c r="F7" s="15" t="inlineStr">
        <is>
          <t>Mediana</t>
        </is>
      </c>
      <c r="G7" s="19">
        <f>MEDIAN($C$3:$C$54)</f>
        <v/>
      </c>
    </row>
    <row r="8">
      <c r="A8" s="51" t="inlineStr">
        <is>
          <t>Fernanda</t>
        </is>
      </c>
      <c r="B8" s="51" t="inlineStr">
        <is>
          <t>RH</t>
        </is>
      </c>
      <c r="C8" s="52" t="n">
        <v>9059.57</v>
      </c>
      <c r="D8" s="44">
        <f>IF(ISBLANK(C8), "", RANK(C8,$C$3:$C$54,0))</f>
        <v/>
      </c>
      <c r="F8" s="15" t="inlineStr">
        <is>
          <t>Desvio Padrao</t>
        </is>
      </c>
      <c r="G8" s="16">
        <f>STDEV($C$3:$C$54)</f>
        <v/>
      </c>
    </row>
    <row r="9">
      <c r="A9" s="37" t="inlineStr">
        <is>
          <t>Lucas</t>
        </is>
      </c>
      <c r="B9" s="37" t="inlineStr">
        <is>
          <t>RH</t>
        </is>
      </c>
      <c r="C9" s="38" t="n">
        <v>7459.35</v>
      </c>
      <c r="D9" s="44">
        <f>IF(ISBLANK(C9), "", RANK(C9,$C$3:$C$54,0))</f>
        <v/>
      </c>
      <c r="F9" s="15" t="inlineStr">
        <is>
          <t>% acima da media</t>
        </is>
      </c>
      <c r="G9" s="53">
        <f>COUNTIF($C$3:$C$54,"&gt;"&amp;AVERAGE($C$3:$C$54))/COUNTA($C$3:$C$54)</f>
        <v/>
      </c>
    </row>
    <row r="10">
      <c r="A10" s="51" t="inlineStr">
        <is>
          <t>Juliana</t>
        </is>
      </c>
      <c r="B10" s="51" t="inlineStr">
        <is>
          <t>Marketing</t>
        </is>
      </c>
      <c r="C10" s="52" t="n"/>
      <c r="D10" s="44">
        <f>IF(ISBLANK(C10), "", RANK(C10,$C$3:$C$54,0))</f>
        <v/>
      </c>
      <c r="F10" s="15" t="inlineStr">
        <is>
          <t>Folha top 3</t>
        </is>
      </c>
      <c r="G10" s="19">
        <f>LARGE($C$3:$C$54,1)+LARGE($C$3:$C$54,2)+LARGE($C$3:$C$54,3)</f>
        <v/>
      </c>
    </row>
    <row r="11">
      <c r="A11" s="37" t="inlineStr">
        <is>
          <t>Rafael</t>
        </is>
      </c>
      <c r="B11" s="37" t="inlineStr">
        <is>
          <t>Marketing</t>
        </is>
      </c>
      <c r="C11" s="38" t="n">
        <v>4701.01</v>
      </c>
      <c r="D11" s="44">
        <f>IF(ISBLANK(C11), "", RANK(C11,$C$3:$C$54,0))</f>
        <v/>
      </c>
    </row>
    <row r="12">
      <c r="A12" s="51" t="inlineStr">
        <is>
          <t>Camila</t>
        </is>
      </c>
      <c r="B12" s="51" t="inlineStr">
        <is>
          <t>Operações</t>
        </is>
      </c>
      <c r="C12" s="52" t="n"/>
      <c r="D12" s="44">
        <f>IF(ISBLANK(C12), "", RANK(C12,$C$3:$C$54,0))</f>
        <v/>
      </c>
    </row>
    <row r="13">
      <c r="A13" s="37" t="inlineStr">
        <is>
          <t>Bruno</t>
        </is>
      </c>
      <c r="B13" s="37" t="inlineStr">
        <is>
          <t>Operações</t>
        </is>
      </c>
      <c r="C13" s="38" t="n">
        <v>7710.89</v>
      </c>
      <c r="D13" s="44">
        <f>IF(ISBLANK(C13), "", RANK(C13,$C$3:$C$54,0))</f>
        <v/>
      </c>
    </row>
    <row r="14">
      <c r="A14" s="51" t="inlineStr">
        <is>
          <t>Larissa</t>
        </is>
      </c>
      <c r="B14" s="51" t="inlineStr">
        <is>
          <t>TI</t>
        </is>
      </c>
      <c r="C14" s="52" t="n">
        <v>13862.23</v>
      </c>
      <c r="D14" s="44">
        <f>IF(ISBLANK(C14), "", RANK(C14,$C$3:$C$54,0))</f>
        <v/>
      </c>
    </row>
    <row r="15">
      <c r="A15" s="37" t="inlineStr">
        <is>
          <t>Diego</t>
        </is>
      </c>
      <c r="B15" s="37" t="inlineStr">
        <is>
          <t>Operações</t>
        </is>
      </c>
      <c r="C15" s="38" t="n">
        <v>8825.709999999999</v>
      </c>
      <c r="D15" s="44">
        <f>IF(ISBLANK(C15), "", RANK(C15,$C$3:$C$54,0))</f>
        <v/>
      </c>
    </row>
    <row r="16">
      <c r="A16" s="51" t="inlineStr">
        <is>
          <t>Patrícia</t>
        </is>
      </c>
      <c r="B16" s="51" t="inlineStr">
        <is>
          <t>Vendas</t>
        </is>
      </c>
      <c r="C16" s="52" t="n">
        <v>9862.6</v>
      </c>
      <c r="D16" s="44">
        <f>IF(ISBLANK(C16), "", RANK(C16,$C$3:$C$54,0))</f>
        <v/>
      </c>
    </row>
    <row r="17">
      <c r="A17" s="37" t="inlineStr">
        <is>
          <t>Thiago</t>
        </is>
      </c>
      <c r="B17" s="37" t="inlineStr">
        <is>
          <t>RH</t>
        </is>
      </c>
      <c r="C17" s="38" t="n"/>
      <c r="D17" s="44">
        <f>IF(ISBLANK(C17), "", RANK(C17,$C$3:$C$54,0))</f>
        <v/>
      </c>
    </row>
    <row r="18">
      <c r="A18" s="51" t="inlineStr">
        <is>
          <t>Renata</t>
        </is>
      </c>
      <c r="B18" s="51" t="inlineStr">
        <is>
          <t>Vendas</t>
        </is>
      </c>
      <c r="C18" s="52" t="n">
        <v>8937.76</v>
      </c>
      <c r="D18" s="44">
        <f>IF(ISBLANK(C18), "", RANK(C18,$C$3:$C$54,0))</f>
        <v/>
      </c>
    </row>
    <row r="19">
      <c r="A19" s="37" t="inlineStr">
        <is>
          <t>Felipe</t>
        </is>
      </c>
      <c r="B19" s="37" t="inlineStr">
        <is>
          <t>Operações</t>
        </is>
      </c>
      <c r="C19" s="38" t="n">
        <v>7220.28</v>
      </c>
      <c r="D19" s="44">
        <f>IF(ISBLANK(C19), "", RANK(C19,$C$3:$C$54,0))</f>
        <v/>
      </c>
    </row>
    <row r="20">
      <c r="A20" s="51" t="inlineStr">
        <is>
          <t>Daniela</t>
        </is>
      </c>
      <c r="B20" s="51" t="inlineStr"/>
      <c r="C20" s="52" t="n">
        <v>7324.01</v>
      </c>
      <c r="D20" s="44">
        <f>IF(ISBLANK(C20), "", RANK(C20,$C$3:$C$54,0))</f>
        <v/>
      </c>
    </row>
    <row r="21">
      <c r="A21" s="37" t="inlineStr">
        <is>
          <t>Rodrigo</t>
        </is>
      </c>
      <c r="B21" s="37" t="inlineStr">
        <is>
          <t>RH</t>
        </is>
      </c>
      <c r="C21" s="38" t="n">
        <v>6842.01</v>
      </c>
      <c r="D21" s="44">
        <f>IF(ISBLANK(C21), "", RANK(C21,$C$3:$C$54,0))</f>
        <v/>
      </c>
    </row>
    <row r="22">
      <c r="A22" s="51" t="inlineStr">
        <is>
          <t>Amanda</t>
        </is>
      </c>
      <c r="B22" s="51" t="inlineStr">
        <is>
          <t>Vendas</t>
        </is>
      </c>
      <c r="C22" s="52" t="n">
        <v>10267.47</v>
      </c>
      <c r="D22" s="44">
        <f>IF(ISBLANK(C22), "", RANK(C22,$C$3:$C$54,0))</f>
        <v/>
      </c>
    </row>
    <row r="23">
      <c r="A23" s="37" t="inlineStr">
        <is>
          <t>Gustavo</t>
        </is>
      </c>
      <c r="B23" s="37" t="inlineStr">
        <is>
          <t>Operações</t>
        </is>
      </c>
      <c r="C23" s="38" t="n">
        <v>3175.8</v>
      </c>
      <c r="D23" s="44">
        <f>IF(ISBLANK(C23), "", RANK(C23,$C$3:$C$54,0))</f>
        <v/>
      </c>
    </row>
    <row r="24">
      <c r="A24" s="51" t="inlineStr">
        <is>
          <t>Vanessa</t>
        </is>
      </c>
      <c r="B24" s="51" t="inlineStr">
        <is>
          <t>RH</t>
        </is>
      </c>
      <c r="C24" s="52" t="n">
        <v>5123.74</v>
      </c>
      <c r="D24" s="44">
        <f>IF(ISBLANK(C24), "", RANK(C24,$C$3:$C$54,0))</f>
        <v/>
      </c>
    </row>
    <row r="25">
      <c r="A25" s="37" t="inlineStr">
        <is>
          <t>Eduardo</t>
        </is>
      </c>
      <c r="B25" s="37" t="inlineStr">
        <is>
          <t>TI</t>
        </is>
      </c>
      <c r="C25" s="38" t="n"/>
      <c r="D25" s="44">
        <f>IF(ISBLANK(C25), "", RANK(C25,$C$3:$C$54,0))</f>
        <v/>
      </c>
    </row>
    <row r="26">
      <c r="A26" s="51" t="inlineStr">
        <is>
          <t>Aline</t>
        </is>
      </c>
      <c r="B26" s="51" t="inlineStr">
        <is>
          <t>Financeiro</t>
        </is>
      </c>
      <c r="C26" s="52" t="n">
        <v>9364.59</v>
      </c>
      <c r="D26" s="44">
        <f>IF(ISBLANK(C26), "", RANK(C26,$C$3:$C$54,0))</f>
        <v/>
      </c>
    </row>
    <row r="27">
      <c r="A27" s="37" t="inlineStr">
        <is>
          <t>Marcos</t>
        </is>
      </c>
      <c r="B27" s="37" t="inlineStr">
        <is>
          <t>Marketing</t>
        </is>
      </c>
      <c r="C27" s="38" t="n">
        <v>8983.799999999999</v>
      </c>
      <c r="D27" s="44">
        <f>IF(ISBLANK(C27), "", RANK(C27,$C$3:$C$54,0))</f>
        <v/>
      </c>
    </row>
    <row r="28">
      <c r="A28" s="51" t="inlineStr">
        <is>
          <t>Cristina</t>
        </is>
      </c>
      <c r="B28" s="51" t="inlineStr">
        <is>
          <t>TI</t>
        </is>
      </c>
      <c r="C28" s="52" t="n">
        <v>5890.78</v>
      </c>
      <c r="D28" s="44">
        <f>IF(ISBLANK(C28), "", RANK(C28,$C$3:$C$54,0))</f>
        <v/>
      </c>
    </row>
    <row r="29">
      <c r="A29" s="37" t="inlineStr">
        <is>
          <t>Leonardo</t>
        </is>
      </c>
      <c r="B29" s="37" t="inlineStr">
        <is>
          <t>TI</t>
        </is>
      </c>
      <c r="C29" s="38" t="n">
        <v>10449.92</v>
      </c>
      <c r="D29" s="44">
        <f>IF(ISBLANK(C29), "", RANK(C29,$C$3:$C$54,0))</f>
        <v/>
      </c>
    </row>
    <row r="30">
      <c r="A30" s="51" t="inlineStr">
        <is>
          <t>Priscila</t>
        </is>
      </c>
      <c r="B30" s="51" t="inlineStr"/>
      <c r="C30" s="52" t="n">
        <v>12224.44</v>
      </c>
      <c r="D30" s="44">
        <f>IF(ISBLANK(C30), "", RANK(C30,$C$3:$C$54,0))</f>
        <v/>
      </c>
    </row>
    <row r="31">
      <c r="A31" s="37" t="inlineStr">
        <is>
          <t>André</t>
        </is>
      </c>
      <c r="B31" s="37" t="inlineStr">
        <is>
          <t>Marketing</t>
        </is>
      </c>
      <c r="C31" s="38" t="n">
        <v>7047.08</v>
      </c>
      <c r="D31" s="44">
        <f>IF(ISBLANK(C31), "", RANK(C31,$C$3:$C$54,0))</f>
        <v/>
      </c>
    </row>
    <row r="32">
      <c r="A32" s="51" t="inlineStr">
        <is>
          <t>Tatiana</t>
        </is>
      </c>
      <c r="B32" s="51" t="inlineStr">
        <is>
          <t>Operações</t>
        </is>
      </c>
      <c r="C32" s="52" t="n">
        <v>6592.4</v>
      </c>
      <c r="D32" s="44">
        <f>IF(ISBLANK(C32), "", RANK(C32,$C$3:$C$54,0))</f>
        <v/>
      </c>
    </row>
    <row r="33">
      <c r="A33" s="37" t="inlineStr">
        <is>
          <t>Vinícius</t>
        </is>
      </c>
      <c r="B33" s="37" t="inlineStr">
        <is>
          <t>TI</t>
        </is>
      </c>
      <c r="C33" s="38" t="n">
        <v>14651.42</v>
      </c>
      <c r="D33" s="44">
        <f>IF(ISBLANK(C33), "", RANK(C33,$C$3:$C$54,0))</f>
        <v/>
      </c>
    </row>
    <row r="34">
      <c r="A34" s="51" t="inlineStr">
        <is>
          <t>Mariana</t>
        </is>
      </c>
      <c r="B34" s="51" t="inlineStr">
        <is>
          <t>Marketing</t>
        </is>
      </c>
      <c r="C34" s="52" t="n">
        <v>5008.97</v>
      </c>
      <c r="D34" s="44">
        <f>IF(ISBLANK(C34), "", RANK(C34,$C$3:$C$54,0))</f>
        <v/>
      </c>
    </row>
    <row r="35">
      <c r="A35" s="37" t="inlineStr">
        <is>
          <t>Leandro</t>
        </is>
      </c>
      <c r="B35" s="37" t="inlineStr"/>
      <c r="C35" s="38" t="n">
        <v>8318</v>
      </c>
      <c r="D35" s="44">
        <f>IF(ISBLANK(C35), "", RANK(C35,$C$3:$C$54,0))</f>
        <v/>
      </c>
    </row>
    <row r="36">
      <c r="A36" s="51" t="inlineStr">
        <is>
          <t>Beatriz</t>
        </is>
      </c>
      <c r="B36" s="51" t="inlineStr">
        <is>
          <t>Marketing</t>
        </is>
      </c>
      <c r="C36" s="52" t="n">
        <v>9676.76</v>
      </c>
      <c r="D36" s="44">
        <f>IF(ISBLANK(C36), "", RANK(C36,$C$3:$C$54,0))</f>
        <v/>
      </c>
    </row>
    <row r="37">
      <c r="A37" s="37" t="inlineStr">
        <is>
          <t>Ricardo</t>
        </is>
      </c>
      <c r="B37" s="37" t="inlineStr">
        <is>
          <t>TI</t>
        </is>
      </c>
      <c r="C37" s="38" t="n">
        <v>7730.99</v>
      </c>
      <c r="D37" s="44">
        <f>IF(ISBLANK(C37), "", RANK(C37,$C$3:$C$54,0))</f>
        <v/>
      </c>
    </row>
    <row r="38">
      <c r="A38" s="51" t="inlineStr">
        <is>
          <t>Érica</t>
        </is>
      </c>
      <c r="B38" s="51" t="inlineStr">
        <is>
          <t>Vendas</t>
        </is>
      </c>
      <c r="C38" s="52" t="n">
        <v>10781.45</v>
      </c>
      <c r="D38" s="44">
        <f>IF(ISBLANK(C38), "", RANK(C38,$C$3:$C$54,0))</f>
        <v/>
      </c>
    </row>
    <row r="39">
      <c r="A39" s="37" t="inlineStr">
        <is>
          <t>Matheus</t>
        </is>
      </c>
      <c r="B39" s="37" t="inlineStr">
        <is>
          <t>Operações</t>
        </is>
      </c>
      <c r="C39" s="38" t="n">
        <v>4454.2</v>
      </c>
      <c r="D39" s="44">
        <f>IF(ISBLANK(C39), "", RANK(C39,$C$3:$C$54,0))</f>
        <v/>
      </c>
    </row>
    <row r="40">
      <c r="A40" s="51" t="inlineStr">
        <is>
          <t>Letícia</t>
        </is>
      </c>
      <c r="B40" s="51" t="inlineStr">
        <is>
          <t>RH</t>
        </is>
      </c>
      <c r="C40" s="52" t="n">
        <v>4949</v>
      </c>
      <c r="D40" s="44">
        <f>IF(ISBLANK(C40), "", RANK(C40,$C$3:$C$54,0))</f>
        <v/>
      </c>
    </row>
    <row r="41">
      <c r="A41" s="37" t="inlineStr">
        <is>
          <t>Fábio</t>
        </is>
      </c>
      <c r="B41" s="37" t="inlineStr">
        <is>
          <t>Marketing</t>
        </is>
      </c>
      <c r="C41" s="38" t="n">
        <v>8436.139999999999</v>
      </c>
      <c r="D41" s="44">
        <f>IF(ISBLANK(C41), "", RANK(C41,$C$3:$C$54,0))</f>
        <v/>
      </c>
    </row>
    <row r="42">
      <c r="A42" s="51" t="inlineStr">
        <is>
          <t>Natália</t>
        </is>
      </c>
      <c r="B42" s="51" t="inlineStr">
        <is>
          <t>RH</t>
        </is>
      </c>
      <c r="C42" s="52" t="n">
        <v>4204.62</v>
      </c>
      <c r="D42" s="44">
        <f>IF(ISBLANK(C42), "", RANK(C42,$C$3:$C$54,0))</f>
        <v/>
      </c>
    </row>
    <row r="43">
      <c r="A43" s="37" t="inlineStr">
        <is>
          <t>Henrique</t>
        </is>
      </c>
      <c r="B43" s="37" t="inlineStr">
        <is>
          <t>Vendas</t>
        </is>
      </c>
      <c r="C43" s="38" t="n">
        <v>3399.48</v>
      </c>
      <c r="D43" s="44">
        <f>IF(ISBLANK(C43), "", RANK(C43,$C$3:$C$54,0))</f>
        <v/>
      </c>
    </row>
    <row r="44">
      <c r="A44" s="51" t="inlineStr">
        <is>
          <t>Sabrina</t>
        </is>
      </c>
      <c r="B44" s="51" t="inlineStr">
        <is>
          <t>Financeiro</t>
        </is>
      </c>
      <c r="C44" s="52" t="n">
        <v>15412.06</v>
      </c>
      <c r="D44" s="44">
        <f>IF(ISBLANK(C44), "", RANK(C44,$C$3:$C$54,0))</f>
        <v/>
      </c>
    </row>
    <row r="45">
      <c r="A45" s="37" t="inlineStr">
        <is>
          <t>Igor</t>
        </is>
      </c>
      <c r="B45" s="37" t="inlineStr">
        <is>
          <t>Financeiro</t>
        </is>
      </c>
      <c r="C45" s="38" t="n">
        <v>10875.74</v>
      </c>
      <c r="D45" s="44">
        <f>IF(ISBLANK(C45), "", RANK(C45,$C$3:$C$54,0))</f>
        <v/>
      </c>
    </row>
    <row r="46">
      <c r="A46" s="51" t="inlineStr">
        <is>
          <t>Carla</t>
        </is>
      </c>
      <c r="B46" s="51" t="inlineStr">
        <is>
          <t>Marketing</t>
        </is>
      </c>
      <c r="C46" s="52" t="n">
        <v>5431</v>
      </c>
      <c r="D46" s="44">
        <f>IF(ISBLANK(C46), "", RANK(C46,$C$3:$C$54,0))</f>
        <v/>
      </c>
    </row>
    <row r="47">
      <c r="A47" s="37" t="inlineStr">
        <is>
          <t>Otávio</t>
        </is>
      </c>
      <c r="B47" s="37" t="inlineStr">
        <is>
          <t>Marketing</t>
        </is>
      </c>
      <c r="C47" s="38" t="n">
        <v>9349.879999999999</v>
      </c>
      <c r="D47" s="44">
        <f>IF(ISBLANK(C47), "", RANK(C47,$C$3:$C$54,0))</f>
        <v/>
      </c>
    </row>
    <row r="48">
      <c r="A48" s="51" t="inlineStr">
        <is>
          <t>Simone</t>
        </is>
      </c>
      <c r="B48" s="51" t="inlineStr">
        <is>
          <t>Vendas</t>
        </is>
      </c>
      <c r="C48" s="52" t="n">
        <v>5021.77</v>
      </c>
      <c r="D48" s="44">
        <f>IF(ISBLANK(C48), "", RANK(C48,$C$3:$C$54,0))</f>
        <v/>
      </c>
    </row>
    <row r="49">
      <c r="A49" s="37" t="inlineStr">
        <is>
          <t>Gabriel</t>
        </is>
      </c>
      <c r="B49" s="37" t="inlineStr">
        <is>
          <t>Financeiro</t>
        </is>
      </c>
      <c r="C49" s="38" t="n">
        <v>12760.98</v>
      </c>
      <c r="D49" s="44">
        <f>IF(ISBLANK(C49), "", RANK(C49,$C$3:$C$54,0))</f>
        <v/>
      </c>
    </row>
    <row r="50">
      <c r="A50" s="51" t="inlineStr">
        <is>
          <t>Mônica</t>
        </is>
      </c>
      <c r="B50" s="51" t="inlineStr">
        <is>
          <t>TI</t>
        </is>
      </c>
      <c r="C50" s="52" t="n">
        <v>7844.93</v>
      </c>
      <c r="D50" s="44">
        <f>IF(ISBLANK(C50), "", RANK(C50,$C$3:$C$54,0))</f>
        <v/>
      </c>
    </row>
    <row r="51">
      <c r="A51" s="37" t="inlineStr">
        <is>
          <t>Marcelo</t>
        </is>
      </c>
      <c r="B51" s="37" t="inlineStr">
        <is>
          <t>Operações</t>
        </is>
      </c>
      <c r="C51" s="38" t="n">
        <v>8690.25</v>
      </c>
      <c r="D51" s="44">
        <f>IF(ISBLANK(C51), "", RANK(C51,$C$3:$C$54,0))</f>
        <v/>
      </c>
    </row>
    <row r="52">
      <c r="A52" s="51" t="inlineStr">
        <is>
          <t>Helena</t>
        </is>
      </c>
      <c r="B52" s="51" t="inlineStr">
        <is>
          <t>Financeiro</t>
        </is>
      </c>
      <c r="C52" s="52" t="n">
        <v>7480.7</v>
      </c>
      <c r="D52" s="44">
        <f>IF(ISBLANK(C52), "", RANK(C52,$C$3:$C$54,0))</f>
        <v/>
      </c>
    </row>
    <row r="53">
      <c r="A53" s="37" t="inlineStr">
        <is>
          <t>Pedro</t>
        </is>
      </c>
      <c r="B53" s="37" t="inlineStr">
        <is>
          <t>Financeiro</t>
        </is>
      </c>
      <c r="C53" s="38" t="n"/>
      <c r="D53" s="44">
        <f>IF(ISBLANK(C53), "", RANK(C53,$C$3:$C$54,0))</f>
        <v/>
      </c>
    </row>
    <row r="54">
      <c r="A54" s="51" t="inlineStr">
        <is>
          <t>Larissa</t>
        </is>
      </c>
      <c r="B54" s="51" t="inlineStr">
        <is>
          <t>TI</t>
        </is>
      </c>
      <c r="C54" s="52" t="n">
        <v>13862.23</v>
      </c>
      <c r="D54" s="44">
        <f>IF(ISBLANK(C54), "", RANK(C54,$C$3:$C$54,0))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2026-07-29T21:25:37Z</dcterms:created>
  <dcterms:modified xmlns:dcterms="http://purl.org/dc/terms/" xmlns:xsi="http://www.w3.org/2001/XMLSchema-instance" xsi:type="dcterms:W3CDTF">2026-07-29T21:25:37Z</dcterms:modified>
</cp:coreProperties>
</file>