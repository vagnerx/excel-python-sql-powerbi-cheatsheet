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Filtros" sheetId="2" state="visible" r:id="rId2"/>
    <sheet xmlns:r="http://schemas.openxmlformats.org/officeDocument/2006/relationships" name="Agrupamento" sheetId="3" state="visible" r:id="rId3"/>
    <sheet xmlns:r="http://schemas.openxmlformats.org/officeDocument/2006/relationships" name="Datas" sheetId="4" state="visible" r:id="rId4"/>
    <sheet xmlns:r="http://schemas.openxmlformats.org/officeDocument/2006/relationships" name="Condicional" sheetId="5" state="visible" r:id="rId5"/>
    <sheet xmlns:r="http://schemas.openxmlformats.org/officeDocument/2006/relationships" name="Lookup" sheetId="6" state="visible" r:id="rId6"/>
    <sheet xmlns:r="http://schemas.openxmlformats.org/officeDocument/2006/relationships" name="Metric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.00"/>
    <numFmt numFmtId="165" formatCode="DD/MM/YYYY"/>
    <numFmt numFmtId="166" formatCode="0.0%"/>
    <numFmt numFmtId="167" formatCode="DD/MM/YYYY HH:MM"/>
    <numFmt numFmtId="168" formatCode="0.0"/>
  </numFmts>
  <fonts count="11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</font>
    <font>
      <b val="1"/>
      <color rgb="001F4E79"/>
      <sz val="13"/>
    </font>
    <font>
      <i val="1"/>
      <color rgb="00595959"/>
      <sz val="9"/>
    </font>
    <font>
      <b val="1"/>
      <sz val="10"/>
    </font>
    <font>
      <b val="1"/>
      <color rgb="00FFFFFF"/>
    </font>
    <font>
      <sz val="9"/>
    </font>
  </fonts>
  <fills count="1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2F7F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375623"/>
      </patternFill>
    </fill>
    <fill>
      <patternFill patternType="solid">
        <fgColor rgb="00F2F7F0"/>
      </patternFill>
    </fill>
    <fill>
      <patternFill patternType="solid">
        <fgColor rgb="00D9E8D4"/>
      </patternFill>
    </fill>
    <fill>
      <patternFill patternType="solid">
        <fgColor rgb="007030A0"/>
      </patternFill>
    </fill>
    <fill>
      <patternFill patternType="solid">
        <fgColor rgb="00F9F0FF"/>
      </patternFill>
    </fill>
    <fill>
      <patternFill patternType="solid">
        <fgColor rgb="00DDEEFF"/>
      </patternFill>
    </fill>
    <fill>
      <patternFill patternType="solid">
        <fgColor rgb="00FFE0E0"/>
      </patternFill>
    </fill>
    <fill>
      <patternFill patternType="solid">
        <fgColor rgb="00C55A11"/>
      </patternFill>
    </fill>
    <fill>
      <patternFill patternType="solid">
        <fgColor rgb="00FFF4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0" fontId="4" fillId="0" borderId="0" pivotButton="0" quotePrefix="0" xfId="0"/>
    <xf numFmtId="0" fontId="5" fillId="6" borderId="0" pivotButton="0" quotePrefix="0" xfId="0"/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4" fontId="5" fillId="6" borderId="0" pivotButton="0" quotePrefix="0" xfId="0"/>
    <xf numFmtId="0" fontId="6" fillId="0" borderId="0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/>
    </xf>
    <xf numFmtId="0" fontId="4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164" fontId="4" fillId="7" borderId="1" pivotButton="0" quotePrefix="0" xfId="0"/>
    <xf numFmtId="164" fontId="4" fillId="6" borderId="1" pivotButton="0" quotePrefix="0" xfId="0"/>
    <xf numFmtId="166" fontId="4" fillId="7" borderId="1" pivotButton="0" quotePrefix="0" xfId="0"/>
    <xf numFmtId="0" fontId="7" fillId="0" borderId="0" pivotButton="0" quotePrefix="0" xfId="0"/>
    <xf numFmtId="0" fontId="2" fillId="8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4" fillId="6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10" fontId="4" fillId="6" borderId="1" applyAlignment="1" pivotButton="0" quotePrefix="0" xfId="0">
      <alignment horizontal="right"/>
    </xf>
    <xf numFmtId="0" fontId="8" fillId="9" borderId="1" pivotButton="0" quotePrefix="0" xfId="0"/>
    <xf numFmtId="0" fontId="9" fillId="8" borderId="1" pivotButton="0" quotePrefix="0" xfId="0"/>
    <xf numFmtId="0" fontId="8" fillId="10" borderId="1" pivotButton="0" quotePrefix="0" xfId="0"/>
    <xf numFmtId="164" fontId="8" fillId="10" borderId="1" pivotButton="0" quotePrefix="0" xfId="0"/>
    <xf numFmtId="10" fontId="8" fillId="10" borderId="1" pivotButton="0" quotePrefix="0" xfId="0"/>
    <xf numFmtId="168" fontId="4" fillId="7" borderId="1" pivotButton="0" quotePrefix="0" xfId="0"/>
    <xf numFmtId="165" fontId="4" fillId="7" borderId="1" pivotButton="0" quotePrefix="0" xfId="0"/>
    <xf numFmtId="165" fontId="4" fillId="6" borderId="1" pivotButton="0" quotePrefix="0" xfId="0"/>
    <xf numFmtId="167" fontId="4" fillId="6" borderId="1" pivotButton="0" quotePrefix="0" xfId="0"/>
    <xf numFmtId="0" fontId="2" fillId="11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10" fillId="6" borderId="1" pivotButton="0" quotePrefix="0" xfId="0"/>
    <xf numFmtId="0" fontId="10" fillId="7" borderId="1" pivotButton="0" quotePrefix="0" xfId="0"/>
    <xf numFmtId="0" fontId="0" fillId="12" borderId="1" pivotButton="0" quotePrefix="0" xfId="0"/>
    <xf numFmtId="164" fontId="0" fillId="12" borderId="1" pivotButton="0" quotePrefix="0" xfId="0"/>
    <xf numFmtId="0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0" fontId="0" fillId="7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left" vertical="center"/>
    </xf>
    <xf numFmtId="0" fontId="0" fillId="16" borderId="1" pivotButton="0" quotePrefix="0" xfId="0"/>
    <xf numFmtId="164" fontId="0" fillId="16" borderId="1" pivotButton="0" quotePrefix="0" xfId="0"/>
    <xf numFmtId="166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20" customWidth="1" min="4" max="4"/>
    <col width="16" customWidth="1" min="5" max="5"/>
    <col width="12" customWidth="1" min="6" max="6"/>
    <col width="16" customWidth="1" min="7" max="7"/>
    <col width="8" customWidth="1" min="8" max="8"/>
    <col width="24" customWidth="1" min="10" max="10"/>
    <col width="16" customWidth="1" min="11" max="11"/>
    <col width="4" customWidth="1" min="12" max="12"/>
    <col width="16" customWidth="1" min="13" max="13"/>
  </cols>
  <sheetData>
    <row r="1" ht="28" customHeight="1">
      <c r="A1" s="1" t="inlineStr">
        <is>
          <t>Dataset: Funcionarios (employees.csv)</t>
        </is>
      </c>
    </row>
    <row r="2" ht="20" customHeight="1">
      <c r="A2" s="2" t="inlineStr">
        <is>
          <t>ID</t>
        </is>
      </c>
      <c r="B2" s="2" t="inlineStr">
        <is>
          <t>Nome</t>
        </is>
      </c>
      <c r="C2" s="2" t="inlineStr">
        <is>
          <t>Departamento</t>
        </is>
      </c>
      <c r="D2" s="2" t="inlineStr">
        <is>
          <t>Cargo</t>
        </is>
      </c>
      <c r="E2" s="2" t="inlineStr">
        <is>
          <t>Cidade</t>
        </is>
      </c>
      <c r="F2" s="2" t="inlineStr">
        <is>
          <t>Salario</t>
        </is>
      </c>
      <c r="G2" s="2" t="inlineStr">
        <is>
          <t>Data Admissao</t>
        </is>
      </c>
      <c r="H2" s="2" t="inlineStr">
        <is>
          <t>Ativo</t>
        </is>
      </c>
      <c r="J2" s="3" t="inlineStr">
        <is>
          <t>Resumo Rapido</t>
        </is>
      </c>
    </row>
    <row r="3">
      <c r="A3" s="4" t="inlineStr">
        <is>
          <t>1</t>
        </is>
      </c>
      <c r="B3" s="4" t="inlineStr">
        <is>
          <t>Ana</t>
        </is>
      </c>
      <c r="C3" s="4" t="inlineStr">
        <is>
          <t>Operações</t>
        </is>
      </c>
      <c r="D3" s="4" t="inlineStr">
        <is>
          <t>Analista Operações</t>
        </is>
      </c>
      <c r="E3" s="4" t="inlineStr">
        <is>
          <t>Porto Alegre</t>
        </is>
      </c>
      <c r="F3" s="5" t="n">
        <v>2955.07</v>
      </c>
      <c r="G3" s="6" t="inlineStr">
        <is>
          <t>2021-01-31</t>
        </is>
      </c>
      <c r="H3" s="4" t="inlineStr">
        <is>
          <t>Sim</t>
        </is>
      </c>
      <c r="J3" s="7" t="inlineStr">
        <is>
          <t>Total de funcionarios</t>
        </is>
      </c>
      <c r="K3" s="8">
        <f>CONT.VALORES(A3:A54)</f>
        <v/>
      </c>
    </row>
    <row r="4">
      <c r="A4" s="9" t="inlineStr">
        <is>
          <t>2</t>
        </is>
      </c>
      <c r="B4" s="9" t="inlineStr">
        <is>
          <t>Carlos</t>
        </is>
      </c>
      <c r="C4" s="9" t="inlineStr"/>
      <c r="D4" s="9" t="inlineStr">
        <is>
          <t>Analista Financeiro</t>
        </is>
      </c>
      <c r="E4" s="9" t="inlineStr">
        <is>
          <t>Brasília</t>
        </is>
      </c>
      <c r="F4" s="10" t="n">
        <v>4842.67</v>
      </c>
      <c r="G4" s="11" t="inlineStr">
        <is>
          <t>2020-06-14</t>
        </is>
      </c>
      <c r="H4" s="9" t="inlineStr">
        <is>
          <t>Sim</t>
        </is>
      </c>
      <c r="J4" s="7" t="inlineStr">
        <is>
          <t>Total de funcionarios ativos</t>
        </is>
      </c>
      <c r="K4" s="8">
        <f>CONT.SE(H3:H54,"Sim")</f>
        <v/>
      </c>
    </row>
    <row r="5">
      <c r="A5" s="4" t="inlineStr">
        <is>
          <t>3</t>
        </is>
      </c>
      <c r="B5" s="4" t="inlineStr">
        <is>
          <t>João</t>
        </is>
      </c>
      <c r="C5" s="4" t="inlineStr">
        <is>
          <t>Vendas</t>
        </is>
      </c>
      <c r="D5" s="4" t="inlineStr">
        <is>
          <t>Key Account</t>
        </is>
      </c>
      <c r="E5" s="4" t="inlineStr">
        <is>
          <t>Porto Alegre</t>
        </is>
      </c>
      <c r="F5" s="5" t="n">
        <v>8303.389999999999</v>
      </c>
      <c r="G5" s="6" t="inlineStr">
        <is>
          <t>2018-01-27</t>
        </is>
      </c>
      <c r="H5" s="4" t="inlineStr">
        <is>
          <t>Sim</t>
        </is>
      </c>
      <c r="J5" s="7" t="inlineStr">
        <is>
          <t>Salario medio</t>
        </is>
      </c>
      <c r="K5" s="12">
        <f>MEDIA(F3:F54)</f>
        <v/>
      </c>
    </row>
    <row r="6">
      <c r="A6" s="9" t="inlineStr">
        <is>
          <t>4</t>
        </is>
      </c>
      <c r="B6" s="9" t="inlineStr">
        <is>
          <t>Maria</t>
        </is>
      </c>
      <c r="C6" s="9" t="inlineStr">
        <is>
          <t>RH</t>
        </is>
      </c>
      <c r="D6" s="9" t="inlineStr">
        <is>
          <t>Analista RH</t>
        </is>
      </c>
      <c r="E6" s="9" t="inlineStr">
        <is>
          <t>Salvador</t>
        </is>
      </c>
      <c r="F6" s="10" t="n">
        <v>4102.85</v>
      </c>
      <c r="G6" s="11" t="inlineStr">
        <is>
          <t>2019-02-01</t>
        </is>
      </c>
      <c r="H6" s="9" t="inlineStr">
        <is>
          <t>Sim</t>
        </is>
      </c>
      <c r="J6" s="7" t="inlineStr">
        <is>
          <t>Maior salario</t>
        </is>
      </c>
      <c r="K6" s="12">
        <f>MAXIMO(F3:F54)</f>
        <v/>
      </c>
    </row>
    <row r="7">
      <c r="A7" s="4" t="inlineStr">
        <is>
          <t>5</t>
        </is>
      </c>
      <c r="B7" s="4" t="inlineStr">
        <is>
          <t>Pedro</t>
        </is>
      </c>
      <c r="C7" s="4" t="inlineStr">
        <is>
          <t>Financeiro</t>
        </is>
      </c>
      <c r="D7" s="4" t="inlineStr">
        <is>
          <t>Analista Financeiro</t>
        </is>
      </c>
      <c r="E7" s="4" t="inlineStr">
        <is>
          <t>Salvador</t>
        </is>
      </c>
      <c r="F7" s="4" t="n"/>
      <c r="G7" s="6" t="inlineStr">
        <is>
          <t>2025-01-18</t>
        </is>
      </c>
      <c r="H7" s="4" t="inlineStr">
        <is>
          <t>Sim</t>
        </is>
      </c>
      <c r="J7" s="7" t="inlineStr">
        <is>
          <t>Menor salario</t>
        </is>
      </c>
      <c r="K7" s="12">
        <f>MINIMO(F3:F54)</f>
        <v/>
      </c>
    </row>
    <row r="8">
      <c r="A8" s="9" t="inlineStr">
        <is>
          <t>6</t>
        </is>
      </c>
      <c r="B8" s="9" t="inlineStr">
        <is>
          <t>Fernanda</t>
        </is>
      </c>
      <c r="C8" s="9" t="inlineStr">
        <is>
          <t>RH</t>
        </is>
      </c>
      <c r="D8" s="9" t="inlineStr">
        <is>
          <t>Analista RH</t>
        </is>
      </c>
      <c r="E8" s="9" t="inlineStr">
        <is>
          <t>Manaus</t>
        </is>
      </c>
      <c r="F8" s="10" t="n">
        <v>9059.57</v>
      </c>
      <c r="G8" s="11" t="inlineStr">
        <is>
          <t>2019-02-18</t>
        </is>
      </c>
      <c r="H8" s="9" t="inlineStr">
        <is>
          <t>Sim</t>
        </is>
      </c>
      <c r="J8" s="7" t="inlineStr">
        <is>
          <t>Folha total</t>
        </is>
      </c>
      <c r="K8" s="12">
        <f>SOMA(F3:F54)</f>
        <v/>
      </c>
    </row>
    <row r="9">
      <c r="A9" s="4" t="inlineStr">
        <is>
          <t>7</t>
        </is>
      </c>
      <c r="B9" s="4" t="inlineStr">
        <is>
          <t>Lucas</t>
        </is>
      </c>
      <c r="C9" s="4" t="inlineStr">
        <is>
          <t>RH</t>
        </is>
      </c>
      <c r="D9" s="4" t="inlineStr">
        <is>
          <t>Analista RH</t>
        </is>
      </c>
      <c r="E9" s="4" t="inlineStr">
        <is>
          <t>Curitiba</t>
        </is>
      </c>
      <c r="F9" s="5" t="n">
        <v>7459.35</v>
      </c>
      <c r="G9" s="6" t="inlineStr">
        <is>
          <t>2019-12-02</t>
        </is>
      </c>
      <c r="H9" s="4" t="inlineStr">
        <is>
          <t>Sim</t>
        </is>
      </c>
      <c r="J9" s="7" t="inlineStr">
        <is>
          <t>Nulos em salario</t>
        </is>
      </c>
      <c r="K9" s="8">
        <f>CONT.VALORES(F3:F54)-CONT.NUM(F3:F54)</f>
        <v/>
      </c>
    </row>
    <row r="10">
      <c r="A10" s="9" t="inlineStr">
        <is>
          <t>8</t>
        </is>
      </c>
      <c r="B10" s="9" t="inlineStr">
        <is>
          <t>Juliana</t>
        </is>
      </c>
      <c r="C10" s="9" t="inlineStr">
        <is>
          <t>Marketing</t>
        </is>
      </c>
      <c r="D10" s="9" t="inlineStr">
        <is>
          <t>Designer</t>
        </is>
      </c>
      <c r="E10" s="9" t="inlineStr">
        <is>
          <t>São Paulo</t>
        </is>
      </c>
      <c r="F10" s="9" t="n"/>
      <c r="G10" s="11" t="inlineStr">
        <is>
          <t>2018-08-18</t>
        </is>
      </c>
      <c r="H10" s="9" t="inlineStr">
        <is>
          <t>Sim</t>
        </is>
      </c>
    </row>
    <row r="11">
      <c r="A11" s="4" t="inlineStr">
        <is>
          <t>9</t>
        </is>
      </c>
      <c r="B11" s="4" t="inlineStr">
        <is>
          <t>Rafael</t>
        </is>
      </c>
      <c r="C11" s="4" t="inlineStr">
        <is>
          <t>Marketing</t>
        </is>
      </c>
      <c r="D11" s="4" t="inlineStr">
        <is>
          <t>Copywriter</t>
        </is>
      </c>
      <c r="E11" s="4" t="inlineStr">
        <is>
          <t>Manaus</t>
        </is>
      </c>
      <c r="F11" s="5" t="n">
        <v>4701.01</v>
      </c>
      <c r="G11" s="6" t="inlineStr">
        <is>
          <t>2023-08-07</t>
        </is>
      </c>
      <c r="H11" s="4" t="inlineStr">
        <is>
          <t>Sim</t>
        </is>
      </c>
    </row>
    <row r="12">
      <c r="A12" s="9" t="inlineStr">
        <is>
          <t>10</t>
        </is>
      </c>
      <c r="B12" s="9" t="inlineStr">
        <is>
          <t>Camila</t>
        </is>
      </c>
      <c r="C12" s="9" t="inlineStr">
        <is>
          <t>Operações</t>
        </is>
      </c>
      <c r="D12" s="9" t="inlineStr">
        <is>
          <t>Gerente Ops</t>
        </is>
      </c>
      <c r="E12" s="9" t="inlineStr">
        <is>
          <t>Porto Alegre</t>
        </is>
      </c>
      <c r="F12" s="9" t="n"/>
      <c r="G12" s="11" t="inlineStr">
        <is>
          <t>2022-06-24</t>
        </is>
      </c>
      <c r="H12" s="9" t="inlineStr">
        <is>
          <t>Sim</t>
        </is>
      </c>
    </row>
    <row r="13">
      <c r="A13" s="4" t="inlineStr">
        <is>
          <t>11</t>
        </is>
      </c>
      <c r="B13" s="4" t="inlineStr">
        <is>
          <t>Bruno</t>
        </is>
      </c>
      <c r="C13" s="4" t="inlineStr">
        <is>
          <t>Operações</t>
        </is>
      </c>
      <c r="D13" s="4" t="inlineStr">
        <is>
          <t>Supervisor</t>
        </is>
      </c>
      <c r="E13" s="4" t="inlineStr">
        <is>
          <t>Fortaleza</t>
        </is>
      </c>
      <c r="F13" s="5" t="n">
        <v>7710.89</v>
      </c>
      <c r="G13" s="6" t="inlineStr">
        <is>
          <t>2022-09-26</t>
        </is>
      </c>
      <c r="H13" s="4" t="inlineStr">
        <is>
          <t>Sim</t>
        </is>
      </c>
    </row>
    <row r="14">
      <c r="A14" s="9" t="inlineStr">
        <is>
          <t>12</t>
        </is>
      </c>
      <c r="B14" s="9" t="inlineStr">
        <is>
          <t>Larissa</t>
        </is>
      </c>
      <c r="C14" s="9" t="inlineStr">
        <is>
          <t>TI</t>
        </is>
      </c>
      <c r="D14" s="9" t="inlineStr">
        <is>
          <t>Analista</t>
        </is>
      </c>
      <c r="E14" s="9" t="inlineStr">
        <is>
          <t>Salvador</t>
        </is>
      </c>
      <c r="F14" s="10" t="n">
        <v>13862.23</v>
      </c>
      <c r="G14" s="11" t="inlineStr">
        <is>
          <t>2024-01-09</t>
        </is>
      </c>
      <c r="H14" s="9" t="inlineStr">
        <is>
          <t>Sim</t>
        </is>
      </c>
    </row>
    <row r="15">
      <c r="A15" s="4" t="inlineStr">
        <is>
          <t>13</t>
        </is>
      </c>
      <c r="B15" s="4" t="inlineStr">
        <is>
          <t>Diego</t>
        </is>
      </c>
      <c r="C15" s="4" t="inlineStr">
        <is>
          <t>Operações</t>
        </is>
      </c>
      <c r="D15" s="4" t="inlineStr">
        <is>
          <t>Coordenador</t>
        </is>
      </c>
      <c r="E15" s="4" t="inlineStr">
        <is>
          <t>Rio de Janeiro</t>
        </is>
      </c>
      <c r="F15" s="5" t="n">
        <v>8825.709999999999</v>
      </c>
      <c r="G15" s="6" t="inlineStr">
        <is>
          <t>2020-01-02</t>
        </is>
      </c>
      <c r="H15" s="4" t="inlineStr">
        <is>
          <t>Sim</t>
        </is>
      </c>
    </row>
    <row r="16">
      <c r="A16" s="9" t="inlineStr">
        <is>
          <t>14</t>
        </is>
      </c>
      <c r="B16" s="9" t="inlineStr">
        <is>
          <t>Patrícia</t>
        </is>
      </c>
      <c r="C16" s="9" t="inlineStr">
        <is>
          <t>Vendas</t>
        </is>
      </c>
      <c r="D16" s="9" t="inlineStr">
        <is>
          <t>SDR</t>
        </is>
      </c>
      <c r="E16" s="9" t="inlineStr">
        <is>
          <t>Recife</t>
        </is>
      </c>
      <c r="F16" s="10" t="n">
        <v>9862.6</v>
      </c>
      <c r="G16" s="11" t="inlineStr">
        <is>
          <t>2024-01-19</t>
        </is>
      </c>
      <c r="H16" s="9" t="inlineStr">
        <is>
          <t>Não</t>
        </is>
      </c>
    </row>
    <row r="17">
      <c r="A17" s="4" t="inlineStr">
        <is>
          <t>15</t>
        </is>
      </c>
      <c r="B17" s="4" t="inlineStr">
        <is>
          <t>Thiago</t>
        </is>
      </c>
      <c r="C17" s="4" t="inlineStr">
        <is>
          <t>RH</t>
        </is>
      </c>
      <c r="D17" s="4" t="inlineStr">
        <is>
          <t>Recruiter</t>
        </is>
      </c>
      <c r="E17" s="4" t="inlineStr">
        <is>
          <t>Rio de Janeiro</t>
        </is>
      </c>
      <c r="F17" s="4" t="n"/>
      <c r="G17" s="6" t="inlineStr">
        <is>
          <t>2020-09-13</t>
        </is>
      </c>
      <c r="H17" s="4" t="inlineStr">
        <is>
          <t>Não</t>
        </is>
      </c>
    </row>
    <row r="18">
      <c r="A18" s="9" t="inlineStr">
        <is>
          <t>16</t>
        </is>
      </c>
      <c r="B18" s="9" t="inlineStr">
        <is>
          <t>Renata</t>
        </is>
      </c>
      <c r="C18" s="9" t="inlineStr">
        <is>
          <t>Vendas</t>
        </is>
      </c>
      <c r="D18" s="9" t="inlineStr">
        <is>
          <t>Gerente de Contas</t>
        </is>
      </c>
      <c r="E18" s="9" t="inlineStr">
        <is>
          <t>Recife</t>
        </is>
      </c>
      <c r="F18" s="10" t="n">
        <v>8937.76</v>
      </c>
      <c r="G18" s="11" t="inlineStr">
        <is>
          <t>2024-03-01</t>
        </is>
      </c>
      <c r="H18" s="9" t="inlineStr">
        <is>
          <t>Sim</t>
        </is>
      </c>
    </row>
    <row r="19">
      <c r="A19" s="4" t="inlineStr">
        <is>
          <t>17</t>
        </is>
      </c>
      <c r="B19" s="4" t="inlineStr">
        <is>
          <t>Felipe</t>
        </is>
      </c>
      <c r="C19" s="4" t="inlineStr">
        <is>
          <t>Operações</t>
        </is>
      </c>
      <c r="D19" s="4" t="inlineStr">
        <is>
          <t>Supervisor</t>
        </is>
      </c>
      <c r="E19" s="4" t="inlineStr">
        <is>
          <t>Salvador</t>
        </is>
      </c>
      <c r="F19" s="5" t="n">
        <v>7220.28</v>
      </c>
      <c r="G19" s="6" t="inlineStr">
        <is>
          <t>2022-06-23</t>
        </is>
      </c>
      <c r="H19" s="4" t="inlineStr">
        <is>
          <t>Não</t>
        </is>
      </c>
    </row>
    <row r="20">
      <c r="A20" s="9" t="inlineStr">
        <is>
          <t>18</t>
        </is>
      </c>
      <c r="B20" s="9" t="inlineStr">
        <is>
          <t>Daniela</t>
        </is>
      </c>
      <c r="C20" s="9" t="inlineStr"/>
      <c r="D20" s="9" t="inlineStr">
        <is>
          <t>Analista RH</t>
        </is>
      </c>
      <c r="E20" s="9" t="inlineStr">
        <is>
          <t>São Paulo</t>
        </is>
      </c>
      <c r="F20" s="10" t="n">
        <v>7324.01</v>
      </c>
      <c r="G20" s="11" t="inlineStr">
        <is>
          <t>2020-07-31</t>
        </is>
      </c>
      <c r="H20" s="9" t="inlineStr">
        <is>
          <t>Sim</t>
        </is>
      </c>
    </row>
    <row r="21">
      <c r="A21" s="4" t="inlineStr">
        <is>
          <t>19</t>
        </is>
      </c>
      <c r="B21" s="4" t="inlineStr">
        <is>
          <t>Rodrigo</t>
        </is>
      </c>
      <c r="C21" s="4" t="inlineStr">
        <is>
          <t>RH</t>
        </is>
      </c>
      <c r="D21" s="4" t="inlineStr">
        <is>
          <t>Analista RH</t>
        </is>
      </c>
      <c r="E21" s="4" t="inlineStr">
        <is>
          <t>Curitiba</t>
        </is>
      </c>
      <c r="F21" s="5" t="n">
        <v>6842.01</v>
      </c>
      <c r="G21" s="6" t="inlineStr">
        <is>
          <t>2021-02-14</t>
        </is>
      </c>
      <c r="H21" s="4" t="inlineStr">
        <is>
          <t>Sim</t>
        </is>
      </c>
    </row>
    <row r="22">
      <c r="A22" s="9" t="inlineStr">
        <is>
          <t>20</t>
        </is>
      </c>
      <c r="B22" s="9" t="inlineStr">
        <is>
          <t>Amanda</t>
        </is>
      </c>
      <c r="C22" s="9" t="inlineStr">
        <is>
          <t>Vendas</t>
        </is>
      </c>
      <c r="D22" s="9" t="inlineStr">
        <is>
          <t>Key Account</t>
        </is>
      </c>
      <c r="E22" s="9" t="inlineStr">
        <is>
          <t>Fortaleza</t>
        </is>
      </c>
      <c r="F22" s="10" t="n">
        <v>10267.47</v>
      </c>
      <c r="G22" s="9" t="inlineStr"/>
      <c r="H22" s="9" t="inlineStr">
        <is>
          <t>Sim</t>
        </is>
      </c>
    </row>
    <row r="23">
      <c r="A23" s="4" t="inlineStr">
        <is>
          <t>21</t>
        </is>
      </c>
      <c r="B23" s="4" t="inlineStr">
        <is>
          <t>Gustavo</t>
        </is>
      </c>
      <c r="C23" s="4" t="inlineStr">
        <is>
          <t>Operações</t>
        </is>
      </c>
      <c r="D23" s="4" t="inlineStr">
        <is>
          <t>Analista Operações</t>
        </is>
      </c>
      <c r="E23" s="4" t="inlineStr">
        <is>
          <t>Rio de Janeiro</t>
        </is>
      </c>
      <c r="F23" s="5" t="n">
        <v>3175.8</v>
      </c>
      <c r="G23" s="6" t="inlineStr">
        <is>
          <t>2021-10-21</t>
        </is>
      </c>
      <c r="H23" s="4" t="inlineStr">
        <is>
          <t>Sim</t>
        </is>
      </c>
    </row>
    <row r="24">
      <c r="A24" s="9" t="inlineStr">
        <is>
          <t>22</t>
        </is>
      </c>
      <c r="B24" s="9" t="inlineStr">
        <is>
          <t>Vanessa</t>
        </is>
      </c>
      <c r="C24" s="9" t="inlineStr">
        <is>
          <t>RH</t>
        </is>
      </c>
      <c r="D24" s="9" t="inlineStr">
        <is>
          <t>Gerente RH</t>
        </is>
      </c>
      <c r="E24" s="9" t="inlineStr">
        <is>
          <t>Recife</t>
        </is>
      </c>
      <c r="F24" s="10" t="n">
        <v>5123.74</v>
      </c>
      <c r="G24" s="9" t="inlineStr"/>
      <c r="H24" s="9" t="inlineStr">
        <is>
          <t>Sim</t>
        </is>
      </c>
    </row>
    <row r="25">
      <c r="A25" s="4" t="inlineStr">
        <is>
          <t>23</t>
        </is>
      </c>
      <c r="B25" s="4" t="inlineStr">
        <is>
          <t>Eduardo</t>
        </is>
      </c>
      <c r="C25" s="4" t="inlineStr">
        <is>
          <t>TI</t>
        </is>
      </c>
      <c r="D25" s="4" t="inlineStr">
        <is>
          <t>Desenvolvedor</t>
        </is>
      </c>
      <c r="E25" s="4" t="inlineStr">
        <is>
          <t>Fortaleza</t>
        </is>
      </c>
      <c r="F25" s="4" t="n"/>
      <c r="G25" s="6" t="inlineStr">
        <is>
          <t>2023-06-13</t>
        </is>
      </c>
      <c r="H25" s="4" t="inlineStr">
        <is>
          <t>Sim</t>
        </is>
      </c>
    </row>
    <row r="26">
      <c r="A26" s="9" t="inlineStr">
        <is>
          <t>24</t>
        </is>
      </c>
      <c r="B26" s="9" t="inlineStr">
        <is>
          <t>Aline</t>
        </is>
      </c>
      <c r="C26" s="9" t="inlineStr">
        <is>
          <t>Financeiro</t>
        </is>
      </c>
      <c r="D26" s="9" t="inlineStr">
        <is>
          <t>Tesoureiro</t>
        </is>
      </c>
      <c r="E26" s="9" t="inlineStr">
        <is>
          <t>Manaus</t>
        </is>
      </c>
      <c r="F26" s="10" t="n">
        <v>9364.59</v>
      </c>
      <c r="G26" s="11" t="inlineStr">
        <is>
          <t>2024-03-26</t>
        </is>
      </c>
      <c r="H26" s="9" t="inlineStr">
        <is>
          <t>Sim</t>
        </is>
      </c>
    </row>
    <row r="27">
      <c r="A27" s="4" t="inlineStr">
        <is>
          <t>25</t>
        </is>
      </c>
      <c r="B27" s="4" t="inlineStr">
        <is>
          <t>Marcos</t>
        </is>
      </c>
      <c r="C27" s="4" t="inlineStr">
        <is>
          <t>Marketing</t>
        </is>
      </c>
      <c r="D27" s="4" t="inlineStr">
        <is>
          <t>Analista Marketing</t>
        </is>
      </c>
      <c r="E27" s="4" t="inlineStr">
        <is>
          <t>Manaus</t>
        </is>
      </c>
      <c r="F27" s="5" t="n">
        <v>8983.799999999999</v>
      </c>
      <c r="G27" s="6" t="inlineStr">
        <is>
          <t>2018-08-23</t>
        </is>
      </c>
      <c r="H27" s="4" t="inlineStr">
        <is>
          <t>Sim</t>
        </is>
      </c>
    </row>
    <row r="28">
      <c r="A28" s="9" t="inlineStr">
        <is>
          <t>26</t>
        </is>
      </c>
      <c r="B28" s="9" t="inlineStr">
        <is>
          <t>Cristina</t>
        </is>
      </c>
      <c r="C28" s="9" t="inlineStr">
        <is>
          <t>TI</t>
        </is>
      </c>
      <c r="D28" s="9" t="inlineStr">
        <is>
          <t>Desenvolvedor</t>
        </is>
      </c>
      <c r="E28" s="9" t="inlineStr">
        <is>
          <t>Curitiba</t>
        </is>
      </c>
      <c r="F28" s="10" t="n">
        <v>5890.78</v>
      </c>
      <c r="G28" s="11" t="inlineStr">
        <is>
          <t>2018-10-06</t>
        </is>
      </c>
      <c r="H28" s="9" t="inlineStr">
        <is>
          <t>Sim</t>
        </is>
      </c>
    </row>
    <row r="29">
      <c r="A29" s="4" t="inlineStr">
        <is>
          <t>27</t>
        </is>
      </c>
      <c r="B29" s="4" t="inlineStr">
        <is>
          <t>Leonardo</t>
        </is>
      </c>
      <c r="C29" s="4" t="inlineStr">
        <is>
          <t>TI</t>
        </is>
      </c>
      <c r="D29" s="4" t="inlineStr">
        <is>
          <t>Analista</t>
        </is>
      </c>
      <c r="E29" s="4" t="inlineStr">
        <is>
          <t>Salvador</t>
        </is>
      </c>
      <c r="F29" s="5" t="n">
        <v>10449.92</v>
      </c>
      <c r="G29" s="6" t="inlineStr">
        <is>
          <t>2024-07-18</t>
        </is>
      </c>
      <c r="H29" s="4" t="inlineStr">
        <is>
          <t>Sim</t>
        </is>
      </c>
    </row>
    <row r="30">
      <c r="A30" s="9" t="inlineStr">
        <is>
          <t>28</t>
        </is>
      </c>
      <c r="B30" s="9" t="inlineStr">
        <is>
          <t>Priscila</t>
        </is>
      </c>
      <c r="C30" s="9" t="inlineStr"/>
      <c r="D30" s="9" t="inlineStr">
        <is>
          <t>Controller</t>
        </is>
      </c>
      <c r="E30" s="9" t="inlineStr">
        <is>
          <t>Rio de Janeiro</t>
        </is>
      </c>
      <c r="F30" s="10" t="n">
        <v>12224.44</v>
      </c>
      <c r="G30" s="11" t="inlineStr">
        <is>
          <t>2021-05-13</t>
        </is>
      </c>
      <c r="H30" s="9" t="inlineStr">
        <is>
          <t>Sim</t>
        </is>
      </c>
    </row>
    <row r="31">
      <c r="A31" s="4" t="inlineStr">
        <is>
          <t>29</t>
        </is>
      </c>
      <c r="B31" s="4" t="inlineStr">
        <is>
          <t>André</t>
        </is>
      </c>
      <c r="C31" s="4" t="inlineStr">
        <is>
          <t>Marketing</t>
        </is>
      </c>
      <c r="D31" s="4" t="inlineStr">
        <is>
          <t>Designer</t>
        </is>
      </c>
      <c r="E31" s="4" t="inlineStr">
        <is>
          <t>Rio de Janeiro</t>
        </is>
      </c>
      <c r="F31" s="5" t="n">
        <v>7047.08</v>
      </c>
      <c r="G31" s="6" t="inlineStr">
        <is>
          <t>2019-06-27</t>
        </is>
      </c>
      <c r="H31" s="4" t="inlineStr">
        <is>
          <t>Não</t>
        </is>
      </c>
    </row>
    <row r="32">
      <c r="A32" s="9" t="inlineStr">
        <is>
          <t>30</t>
        </is>
      </c>
      <c r="B32" s="9" t="inlineStr">
        <is>
          <t>Tatiana</t>
        </is>
      </c>
      <c r="C32" s="9" t="inlineStr">
        <is>
          <t>Operações</t>
        </is>
      </c>
      <c r="D32" s="9" t="inlineStr">
        <is>
          <t>Coordenador</t>
        </is>
      </c>
      <c r="E32" s="9" t="inlineStr">
        <is>
          <t>Recife</t>
        </is>
      </c>
      <c r="F32" s="10" t="n">
        <v>6592.4</v>
      </c>
      <c r="G32" s="11" t="inlineStr">
        <is>
          <t>2025-05-02</t>
        </is>
      </c>
      <c r="H32" s="9" t="inlineStr">
        <is>
          <t>Sim</t>
        </is>
      </c>
    </row>
    <row r="33">
      <c r="A33" s="4" t="inlineStr">
        <is>
          <t>31</t>
        </is>
      </c>
      <c r="B33" s="4" t="inlineStr">
        <is>
          <t>Vinícius</t>
        </is>
      </c>
      <c r="C33" s="4" t="inlineStr">
        <is>
          <t>TI</t>
        </is>
      </c>
      <c r="D33" s="4" t="inlineStr">
        <is>
          <t>Analista</t>
        </is>
      </c>
      <c r="E33" s="4" t="inlineStr">
        <is>
          <t>Brasília</t>
        </is>
      </c>
      <c r="F33" s="5" t="n">
        <v>14651.42</v>
      </c>
      <c r="G33" s="6" t="inlineStr">
        <is>
          <t>2019-09-29</t>
        </is>
      </c>
      <c r="H33" s="4" t="inlineStr">
        <is>
          <t>Sim</t>
        </is>
      </c>
    </row>
    <row r="34">
      <c r="A34" s="9" t="inlineStr">
        <is>
          <t>32</t>
        </is>
      </c>
      <c r="B34" s="9" t="inlineStr">
        <is>
          <t>Mariana</t>
        </is>
      </c>
      <c r="C34" s="9" t="inlineStr">
        <is>
          <t>Marketing</t>
        </is>
      </c>
      <c r="D34" s="9" t="inlineStr"/>
      <c r="E34" s="9" t="inlineStr">
        <is>
          <t>Fortaleza</t>
        </is>
      </c>
      <c r="F34" s="10" t="n">
        <v>5008.97</v>
      </c>
      <c r="G34" s="11" t="inlineStr">
        <is>
          <t>2018-07-28</t>
        </is>
      </c>
      <c r="H34" s="9" t="inlineStr">
        <is>
          <t>Sim</t>
        </is>
      </c>
    </row>
    <row r="35">
      <c r="A35" s="4" t="inlineStr">
        <is>
          <t>33</t>
        </is>
      </c>
      <c r="B35" s="4" t="inlineStr">
        <is>
          <t>Leandro</t>
        </is>
      </c>
      <c r="C35" s="4" t="inlineStr"/>
      <c r="D35" s="4" t="inlineStr"/>
      <c r="E35" s="4" t="inlineStr">
        <is>
          <t>Recife</t>
        </is>
      </c>
      <c r="F35" s="5" t="n">
        <v>8318</v>
      </c>
      <c r="G35" s="6" t="inlineStr">
        <is>
          <t>2024-03-09</t>
        </is>
      </c>
      <c r="H35" s="4" t="inlineStr">
        <is>
          <t>Sim</t>
        </is>
      </c>
    </row>
    <row r="36">
      <c r="A36" s="9" t="inlineStr">
        <is>
          <t>34</t>
        </is>
      </c>
      <c r="B36" s="9" t="inlineStr">
        <is>
          <t>Beatriz</t>
        </is>
      </c>
      <c r="C36" s="9" t="inlineStr">
        <is>
          <t>Marketing</t>
        </is>
      </c>
      <c r="D36" s="9" t="inlineStr">
        <is>
          <t>Analista Marketing</t>
        </is>
      </c>
      <c r="E36" s="9" t="inlineStr">
        <is>
          <t>Fortaleza</t>
        </is>
      </c>
      <c r="F36" s="10" t="n">
        <v>9676.76</v>
      </c>
      <c r="G36" s="11" t="inlineStr">
        <is>
          <t>2024-07-13</t>
        </is>
      </c>
      <c r="H36" s="9" t="inlineStr">
        <is>
          <t>Sim</t>
        </is>
      </c>
    </row>
    <row r="37">
      <c r="A37" s="4" t="inlineStr">
        <is>
          <t>35</t>
        </is>
      </c>
      <c r="B37" s="4" t="inlineStr">
        <is>
          <t>Ricardo</t>
        </is>
      </c>
      <c r="C37" s="4" t="inlineStr">
        <is>
          <t>TI</t>
        </is>
      </c>
      <c r="D37" s="4" t="inlineStr">
        <is>
          <t>Arquiteto</t>
        </is>
      </c>
      <c r="E37" s="4" t="inlineStr">
        <is>
          <t>Salvador</t>
        </is>
      </c>
      <c r="F37" s="5" t="n">
        <v>7730.99</v>
      </c>
      <c r="G37" s="6" t="inlineStr">
        <is>
          <t>2020-10-19</t>
        </is>
      </c>
      <c r="H37" s="4" t="inlineStr">
        <is>
          <t>Sim</t>
        </is>
      </c>
    </row>
    <row r="38">
      <c r="A38" s="9" t="inlineStr">
        <is>
          <t>36</t>
        </is>
      </c>
      <c r="B38" s="9" t="inlineStr">
        <is>
          <t>Érica</t>
        </is>
      </c>
      <c r="C38" s="9" t="inlineStr">
        <is>
          <t>Vendas</t>
        </is>
      </c>
      <c r="D38" s="9" t="inlineStr">
        <is>
          <t>Gerente de Contas</t>
        </is>
      </c>
      <c r="E38" s="9" t="inlineStr">
        <is>
          <t>São Paulo</t>
        </is>
      </c>
      <c r="F38" s="10" t="n">
        <v>10781.45</v>
      </c>
      <c r="G38" s="11" t="inlineStr">
        <is>
          <t>2019-12-27</t>
        </is>
      </c>
      <c r="H38" s="9" t="inlineStr">
        <is>
          <t>Não</t>
        </is>
      </c>
    </row>
    <row r="39">
      <c r="A39" s="4" t="inlineStr">
        <is>
          <t>37</t>
        </is>
      </c>
      <c r="B39" s="4" t="inlineStr">
        <is>
          <t>Matheus</t>
        </is>
      </c>
      <c r="C39" s="4" t="inlineStr">
        <is>
          <t>Operações</t>
        </is>
      </c>
      <c r="D39" s="4" t="inlineStr">
        <is>
          <t>Supervisor</t>
        </is>
      </c>
      <c r="E39" s="4" t="inlineStr">
        <is>
          <t>São Paulo</t>
        </is>
      </c>
      <c r="F39" s="5" t="n">
        <v>4454.2</v>
      </c>
      <c r="G39" s="6" t="inlineStr">
        <is>
          <t>2019-03-19</t>
        </is>
      </c>
      <c r="H39" s="4" t="inlineStr">
        <is>
          <t>Sim</t>
        </is>
      </c>
    </row>
    <row r="40">
      <c r="A40" s="9" t="inlineStr">
        <is>
          <t>38</t>
        </is>
      </c>
      <c r="B40" s="9" t="inlineStr">
        <is>
          <t>Letícia</t>
        </is>
      </c>
      <c r="C40" s="9" t="inlineStr">
        <is>
          <t>RH</t>
        </is>
      </c>
      <c r="D40" s="9" t="inlineStr"/>
      <c r="E40" s="9" t="inlineStr">
        <is>
          <t>Salvador</t>
        </is>
      </c>
      <c r="F40" s="10" t="n">
        <v>4949</v>
      </c>
      <c r="G40" s="11" t="inlineStr">
        <is>
          <t>2025-05-27</t>
        </is>
      </c>
      <c r="H40" s="9" t="inlineStr">
        <is>
          <t>Sim</t>
        </is>
      </c>
    </row>
    <row r="41">
      <c r="A41" s="4" t="inlineStr">
        <is>
          <t>39</t>
        </is>
      </c>
      <c r="B41" s="4" t="inlineStr">
        <is>
          <t>Fábio</t>
        </is>
      </c>
      <c r="C41" s="4" t="inlineStr">
        <is>
          <t>Marketing</t>
        </is>
      </c>
      <c r="D41" s="4" t="inlineStr">
        <is>
          <t>Gestor Tráfego</t>
        </is>
      </c>
      <c r="E41" s="4" t="inlineStr">
        <is>
          <t>São Paulo</t>
        </is>
      </c>
      <c r="F41" s="5" t="n">
        <v>8436.139999999999</v>
      </c>
      <c r="G41" s="6" t="inlineStr">
        <is>
          <t>2024-01-06</t>
        </is>
      </c>
      <c r="H41" s="4" t="inlineStr">
        <is>
          <t>Sim</t>
        </is>
      </c>
    </row>
    <row r="42">
      <c r="A42" s="9" t="inlineStr">
        <is>
          <t>40</t>
        </is>
      </c>
      <c r="B42" s="9" t="inlineStr">
        <is>
          <t>Natália</t>
        </is>
      </c>
      <c r="C42" s="9" t="inlineStr">
        <is>
          <t>RH</t>
        </is>
      </c>
      <c r="D42" s="9" t="inlineStr">
        <is>
          <t>Analista RH</t>
        </is>
      </c>
      <c r="E42" s="9" t="inlineStr">
        <is>
          <t>Salvador</t>
        </is>
      </c>
      <c r="F42" s="10" t="n">
        <v>4204.62</v>
      </c>
      <c r="G42" s="11" t="inlineStr">
        <is>
          <t>2022-11-15</t>
        </is>
      </c>
      <c r="H42" s="9" t="inlineStr">
        <is>
          <t>Sim</t>
        </is>
      </c>
    </row>
    <row r="43">
      <c r="A43" s="4" t="inlineStr">
        <is>
          <t>41</t>
        </is>
      </c>
      <c r="B43" s="4" t="inlineStr">
        <is>
          <t>Henrique</t>
        </is>
      </c>
      <c r="C43" s="4" t="inlineStr">
        <is>
          <t>Vendas</t>
        </is>
      </c>
      <c r="D43" s="4" t="inlineStr">
        <is>
          <t>SDR</t>
        </is>
      </c>
      <c r="E43" s="4" t="inlineStr">
        <is>
          <t>Recife</t>
        </is>
      </c>
      <c r="F43" s="5" t="n">
        <v>3399.48</v>
      </c>
      <c r="G43" s="6" t="inlineStr">
        <is>
          <t>2022-11-22</t>
        </is>
      </c>
      <c r="H43" s="4" t="inlineStr">
        <is>
          <t>Sim</t>
        </is>
      </c>
    </row>
    <row r="44">
      <c r="A44" s="9" t="inlineStr">
        <is>
          <t>42</t>
        </is>
      </c>
      <c r="B44" s="9" t="inlineStr">
        <is>
          <t>Sabrina</t>
        </is>
      </c>
      <c r="C44" s="9" t="inlineStr">
        <is>
          <t>Financeiro</t>
        </is>
      </c>
      <c r="D44" s="9" t="inlineStr">
        <is>
          <t>Analista Financeiro</t>
        </is>
      </c>
      <c r="E44" s="9" t="inlineStr">
        <is>
          <t>Rio de Janeiro</t>
        </is>
      </c>
      <c r="F44" s="10" t="n">
        <v>15412.06</v>
      </c>
      <c r="G44" s="11" t="inlineStr">
        <is>
          <t>2021-09-14</t>
        </is>
      </c>
      <c r="H44" s="9" t="inlineStr">
        <is>
          <t>Sim</t>
        </is>
      </c>
    </row>
    <row r="45">
      <c r="A45" s="4" t="inlineStr">
        <is>
          <t>43</t>
        </is>
      </c>
      <c r="B45" s="4" t="inlineStr">
        <is>
          <t>Igor</t>
        </is>
      </c>
      <c r="C45" s="4" t="inlineStr">
        <is>
          <t>Financeiro</t>
        </is>
      </c>
      <c r="D45" s="4" t="inlineStr">
        <is>
          <t>Tesoureiro</t>
        </is>
      </c>
      <c r="E45" s="4" t="inlineStr">
        <is>
          <t>Fortaleza</t>
        </is>
      </c>
      <c r="F45" s="5" t="n">
        <v>10875.74</v>
      </c>
      <c r="G45" s="6" t="inlineStr">
        <is>
          <t>2020-02-25</t>
        </is>
      </c>
      <c r="H45" s="4" t="inlineStr">
        <is>
          <t>Sim</t>
        </is>
      </c>
    </row>
    <row r="46">
      <c r="A46" s="9" t="inlineStr">
        <is>
          <t>44</t>
        </is>
      </c>
      <c r="B46" s="9" t="inlineStr">
        <is>
          <t>Carla</t>
        </is>
      </c>
      <c r="C46" s="9" t="inlineStr">
        <is>
          <t>Marketing</t>
        </is>
      </c>
      <c r="D46" s="9" t="inlineStr">
        <is>
          <t>Analista Marketing</t>
        </is>
      </c>
      <c r="E46" s="9" t="inlineStr">
        <is>
          <t>Brasília</t>
        </is>
      </c>
      <c r="F46" s="10" t="n">
        <v>5431</v>
      </c>
      <c r="G46" s="11" t="inlineStr">
        <is>
          <t>2020-05-10</t>
        </is>
      </c>
      <c r="H46" s="9" t="inlineStr">
        <is>
          <t>Sim</t>
        </is>
      </c>
    </row>
    <row r="47">
      <c r="A47" s="4" t="inlineStr">
        <is>
          <t>45</t>
        </is>
      </c>
      <c r="B47" s="4" t="inlineStr">
        <is>
          <t>Otávio</t>
        </is>
      </c>
      <c r="C47" s="4" t="inlineStr">
        <is>
          <t>Marketing</t>
        </is>
      </c>
      <c r="D47" s="4" t="inlineStr">
        <is>
          <t>Gestor Tráfego</t>
        </is>
      </c>
      <c r="E47" s="4" t="inlineStr">
        <is>
          <t>Belo Horizonte</t>
        </is>
      </c>
      <c r="F47" s="5" t="n">
        <v>9349.879999999999</v>
      </c>
      <c r="G47" s="6" t="inlineStr">
        <is>
          <t>2019-11-27</t>
        </is>
      </c>
      <c r="H47" s="4" t="inlineStr">
        <is>
          <t>Sim</t>
        </is>
      </c>
    </row>
    <row r="48">
      <c r="A48" s="9" t="inlineStr">
        <is>
          <t>46</t>
        </is>
      </c>
      <c r="B48" s="9" t="inlineStr">
        <is>
          <t>Simone</t>
        </is>
      </c>
      <c r="C48" s="9" t="inlineStr">
        <is>
          <t>Vendas</t>
        </is>
      </c>
      <c r="D48" s="9" t="inlineStr">
        <is>
          <t>SDR</t>
        </is>
      </c>
      <c r="E48" s="9" t="inlineStr">
        <is>
          <t>São Paulo</t>
        </is>
      </c>
      <c r="F48" s="10" t="n">
        <v>5021.77</v>
      </c>
      <c r="G48" s="9" t="inlineStr"/>
      <c r="H48" s="9" t="inlineStr">
        <is>
          <t>Sim</t>
        </is>
      </c>
    </row>
    <row r="49">
      <c r="A49" s="4" t="inlineStr">
        <is>
          <t>47</t>
        </is>
      </c>
      <c r="B49" s="4" t="inlineStr">
        <is>
          <t>Gabriel</t>
        </is>
      </c>
      <c r="C49" s="4" t="inlineStr">
        <is>
          <t>Financeiro</t>
        </is>
      </c>
      <c r="D49" s="4" t="inlineStr">
        <is>
          <t>Controller</t>
        </is>
      </c>
      <c r="E49" s="4" t="inlineStr">
        <is>
          <t>Curitiba</t>
        </is>
      </c>
      <c r="F49" s="5" t="n">
        <v>12760.98</v>
      </c>
      <c r="G49" s="6" t="inlineStr">
        <is>
          <t>2022-04-22</t>
        </is>
      </c>
      <c r="H49" s="4" t="inlineStr">
        <is>
          <t>Sim</t>
        </is>
      </c>
    </row>
    <row r="50">
      <c r="A50" s="9" t="inlineStr">
        <is>
          <t>48</t>
        </is>
      </c>
      <c r="B50" s="9" t="inlineStr">
        <is>
          <t>Mônica</t>
        </is>
      </c>
      <c r="C50" s="9" t="inlineStr">
        <is>
          <t>TI</t>
        </is>
      </c>
      <c r="D50" s="9" t="inlineStr">
        <is>
          <t>DBA</t>
        </is>
      </c>
      <c r="E50" s="9" t="inlineStr">
        <is>
          <t>Recife</t>
        </is>
      </c>
      <c r="F50" s="10" t="n">
        <v>7844.93</v>
      </c>
      <c r="G50" s="11" t="inlineStr">
        <is>
          <t>2023-10-23</t>
        </is>
      </c>
      <c r="H50" s="9" t="inlineStr">
        <is>
          <t>Sim</t>
        </is>
      </c>
    </row>
    <row r="51">
      <c r="A51" s="4" t="inlineStr">
        <is>
          <t>49</t>
        </is>
      </c>
      <c r="B51" s="4" t="inlineStr">
        <is>
          <t>Marcelo</t>
        </is>
      </c>
      <c r="C51" s="4" t="inlineStr">
        <is>
          <t>Operações</t>
        </is>
      </c>
      <c r="D51" s="4" t="inlineStr">
        <is>
          <t>Coordenador</t>
        </is>
      </c>
      <c r="E51" s="4" t="inlineStr">
        <is>
          <t>Recife</t>
        </is>
      </c>
      <c r="F51" s="5" t="n">
        <v>8690.25</v>
      </c>
      <c r="G51" s="6" t="inlineStr">
        <is>
          <t>2022-12-18</t>
        </is>
      </c>
      <c r="H51" s="4" t="inlineStr">
        <is>
          <t>Sim</t>
        </is>
      </c>
    </row>
    <row r="52">
      <c r="A52" s="9" t="inlineStr">
        <is>
          <t>50</t>
        </is>
      </c>
      <c r="B52" s="9" t="inlineStr">
        <is>
          <t>Helena</t>
        </is>
      </c>
      <c r="C52" s="9" t="inlineStr">
        <is>
          <t>Financeiro</t>
        </is>
      </c>
      <c r="D52" s="9" t="inlineStr">
        <is>
          <t>Contador</t>
        </is>
      </c>
      <c r="E52" s="9" t="inlineStr">
        <is>
          <t>Belo Horizonte</t>
        </is>
      </c>
      <c r="F52" s="10" t="n">
        <v>7480.7</v>
      </c>
      <c r="G52" s="11" t="inlineStr">
        <is>
          <t>2020-10-09</t>
        </is>
      </c>
      <c r="H52" s="9" t="inlineStr">
        <is>
          <t>Sim</t>
        </is>
      </c>
    </row>
    <row r="53">
      <c r="A53" s="4" t="inlineStr">
        <is>
          <t>51</t>
        </is>
      </c>
      <c r="B53" s="4" t="inlineStr">
        <is>
          <t>Pedro</t>
        </is>
      </c>
      <c r="C53" s="4" t="inlineStr">
        <is>
          <t>Financeiro</t>
        </is>
      </c>
      <c r="D53" s="4" t="inlineStr">
        <is>
          <t>Analista Financeiro</t>
        </is>
      </c>
      <c r="E53" s="4" t="inlineStr">
        <is>
          <t>Salvador</t>
        </is>
      </c>
      <c r="F53" s="4" t="n"/>
      <c r="G53" s="6" t="inlineStr">
        <is>
          <t>2025-01-18</t>
        </is>
      </c>
      <c r="H53" s="4" t="inlineStr">
        <is>
          <t>Sim</t>
        </is>
      </c>
    </row>
    <row r="54">
      <c r="A54" s="9" t="inlineStr">
        <is>
          <t>52</t>
        </is>
      </c>
      <c r="B54" s="9" t="inlineStr">
        <is>
          <t>Larissa</t>
        </is>
      </c>
      <c r="C54" s="9" t="inlineStr">
        <is>
          <t>TI</t>
        </is>
      </c>
      <c r="D54" s="9" t="inlineStr">
        <is>
          <t>Analista</t>
        </is>
      </c>
      <c r="E54" s="9" t="inlineStr">
        <is>
          <t>Salvador</t>
        </is>
      </c>
      <c r="F54" s="10" t="n">
        <v>13862.23</v>
      </c>
      <c r="G54" s="11" t="inlineStr">
        <is>
          <t>2024-01-09</t>
        </is>
      </c>
      <c r="H54" s="9" t="inlineStr">
        <is>
          <t>Sim</t>
        </is>
      </c>
    </row>
  </sheetData>
  <mergeCells count="2">
    <mergeCell ref="J2:M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6" customWidth="1" min="3" max="3"/>
    <col width="3" customWidth="1" min="4" max="4"/>
    <col width="30" customWidth="1" min="5" max="5"/>
    <col width="40" customWidth="1" min="6" max="6"/>
  </cols>
  <sheetData>
    <row r="1" ht="25" customHeight="1">
      <c r="A1" s="13" t="inlineStr">
        <is>
          <t>Exemplos de Filtros com Formulas Excel</t>
        </is>
      </c>
    </row>
    <row r="2">
      <c r="A2" s="14" t="inlineStr">
        <is>
          <t>Descricao</t>
        </is>
      </c>
      <c r="B2" s="14" t="inlineStr">
        <is>
          <t>Formula Excel</t>
        </is>
      </c>
      <c r="E2" s="14" t="inlineStr">
        <is>
          <t>Descricao</t>
        </is>
      </c>
      <c r="F2" s="14" t="inlineStr">
        <is>
          <t>Formula Excel</t>
        </is>
      </c>
    </row>
    <row r="3">
      <c r="A3" s="15" t="inlineStr">
        <is>
          <t>Contar TI</t>
        </is>
      </c>
      <c r="B3" s="16">
        <f>CONT.SE(Dados!C3:C54,"TI")</f>
        <v/>
      </c>
      <c r="E3" s="15" t="inlineStr">
        <is>
          <t>CONT.SES - TI E Ativo</t>
        </is>
      </c>
      <c r="F3" s="17">
        <f>CONT.SES(Dados!C3:C54,"TI",Dados!H3:H54,"Sim")</f>
        <v/>
      </c>
    </row>
    <row r="4">
      <c r="A4" s="15" t="inlineStr">
        <is>
          <t>Contar ativos</t>
        </is>
      </c>
      <c r="B4" s="16">
        <f>CONT.SE(Dados!H3:H54,"Sim")</f>
        <v/>
      </c>
      <c r="E4" s="15" t="inlineStr">
        <is>
          <t>SOMASES - Vendas E Ativo</t>
        </is>
      </c>
      <c r="F4" s="18">
        <f>SOMASES(Dados!F3:F54,Dados!C3:C54,"Vendas",Dados!H3:H54,"Sim")</f>
        <v/>
      </c>
    </row>
    <row r="5">
      <c r="A5" s="15" t="inlineStr">
        <is>
          <t>Contar salario &gt; 8000</t>
        </is>
      </c>
      <c r="B5" s="16">
        <f>CONT.SE(Dados!F3:F54,"&gt;8000")</f>
        <v/>
      </c>
      <c r="E5" s="15" t="inlineStr">
        <is>
          <t>MEDIASES - TI E &gt; 5000</t>
        </is>
      </c>
      <c r="F5" s="18">
        <f>MEDIASES(Dados!F3:F54,Dados!C3:C54,"TI",Dados!F3:F54,"&gt;5000")</f>
        <v/>
      </c>
    </row>
    <row r="6">
      <c r="A6" s="15" t="inlineStr">
        <is>
          <t>Contar nulos salario</t>
        </is>
      </c>
      <c r="B6" s="16">
        <f>CONT.VALORES(Dados!F3:F54)-CONT.NUM(Dados!F3:F54)</f>
        <v/>
      </c>
      <c r="E6" s="15" t="inlineStr">
        <is>
          <t>Nome maior salario</t>
        </is>
      </c>
      <c r="F6" s="17">
        <f>INDICE(Dados!B3:B54,CORRESP(MAXIMO(Dados!F3:F54),Dados!F3:F54,0))</f>
        <v/>
      </c>
    </row>
    <row r="7">
      <c r="A7" s="15" t="inlineStr">
        <is>
          <t>Soma salario TI</t>
        </is>
      </c>
      <c r="B7" s="19">
        <f>SOMASE(Dados!C3:C54,"TI",Dados!F3:F54)</f>
        <v/>
      </c>
      <c r="E7" s="15" t="inlineStr">
        <is>
          <t>Nome menor salario</t>
        </is>
      </c>
      <c r="F7" s="17">
        <f>INDICE(Dados!B3:B54,CORRESP(MINIMO(Dados!F3:F54),Dados!F3:F54,0))</f>
        <v/>
      </c>
    </row>
    <row r="8">
      <c r="A8" s="15" t="inlineStr">
        <is>
          <t>Soma salario &gt; 5000</t>
        </is>
      </c>
      <c r="B8" s="19">
        <f>SOMASE(Dados!F3:F54,"&gt;5000",Dados!F3:F54)</f>
        <v/>
      </c>
      <c r="E8" s="15" t="inlineStr">
        <is>
          <t>3o maior salario</t>
        </is>
      </c>
      <c r="F8" s="18">
        <f>GRANDE(Dados!F3:F54,3)</f>
        <v/>
      </c>
    </row>
    <row r="9">
      <c r="A9" s="15" t="inlineStr">
        <is>
          <t>Media TI</t>
        </is>
      </c>
      <c r="B9" s="19">
        <f>MEDIASE(Dados!C3:C54,"TI",Dados!F3:F54)</f>
        <v/>
      </c>
      <c r="E9" s="15" t="inlineStr">
        <is>
          <t>3o menor salario</t>
        </is>
      </c>
      <c r="F9" s="18">
        <f>PEQUENO(Dados!F3:F54,3)</f>
        <v/>
      </c>
    </row>
    <row r="10">
      <c r="A10" s="15" t="inlineStr">
        <is>
          <t>Valor min salario</t>
        </is>
      </c>
      <c r="B10" s="19">
        <f>MINIMO(Dados!F3:F54)</f>
        <v/>
      </c>
      <c r="E10" s="15" t="inlineStr">
        <is>
          <t>Unicos departamentos</t>
        </is>
      </c>
      <c r="F10" s="18">
        <f>SOMARPRODUTO(1/CONT.SE(Dados!C3:C53,Dados!C3:C53))</f>
        <v/>
      </c>
    </row>
    <row r="11">
      <c r="A11" s="15" t="inlineStr">
        <is>
          <t>Valor max salario</t>
        </is>
      </c>
      <c r="B11" s="19">
        <f>MAXIMO(Dados!F3:F54)</f>
        <v/>
      </c>
      <c r="E11" s="15" t="inlineStr">
        <is>
          <t>% salario &gt; 8000</t>
        </is>
      </c>
      <c r="F11" s="20">
        <f>CONT.SE(Dados!F3:F54,"&gt;8000")/CONT.VALORES(Dados!F3:F54)</f>
        <v/>
      </c>
    </row>
    <row r="12">
      <c r="A12" s="15" t="inlineStr">
        <is>
          <t>Total geral folha</t>
        </is>
      </c>
      <c r="B12" s="19">
        <f>SOMA(Dados!F3:F54)</f>
        <v/>
      </c>
      <c r="E12" s="15" t="inlineStr">
        <is>
          <t>Folha ativos</t>
        </is>
      </c>
      <c r="F12" s="18">
        <f>SOMASE(Dados!H3:H54,"Sim",Dados!F3:F54)</f>
        <v/>
      </c>
    </row>
    <row r="14">
      <c r="A14" s="21" t="inlineStr">
        <is>
          <t>Nota: As formulas acima referenciam a aba 'Dados'. Certifique-se de que ela existe.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5" customWidth="1" min="4" max="4"/>
    <col width="15" customWidth="1" min="5" max="5"/>
    <col width="15" customWidth="1" min="6" max="6"/>
    <col width="12" customWidth="1" min="7" max="7"/>
  </cols>
  <sheetData>
    <row r="1" ht="25" customHeight="1">
      <c r="A1" s="13" t="inlineStr">
        <is>
          <t>Agrupamento por Departamento (equivalente ao GROUP BY)</t>
        </is>
      </c>
    </row>
    <row r="2">
      <c r="A2" s="22" t="inlineStr">
        <is>
          <t>Departamento</t>
        </is>
      </c>
      <c r="B2" s="22" t="inlineStr">
        <is>
          <t>Qtd Funcionarios</t>
        </is>
      </c>
      <c r="C2" s="22" t="inlineStr">
        <is>
          <t>Salario Total</t>
        </is>
      </c>
      <c r="D2" s="22" t="inlineStr">
        <is>
          <t>Salario Medio</t>
        </is>
      </c>
      <c r="E2" s="22" t="inlineStr">
        <is>
          <t>Maior Salario</t>
        </is>
      </c>
      <c r="F2" s="22" t="inlineStr">
        <is>
          <t>Menor Salario</t>
        </is>
      </c>
      <c r="G2" s="22" t="inlineStr">
        <is>
          <t>% da Folha</t>
        </is>
      </c>
    </row>
    <row r="3">
      <c r="A3" s="23" t="inlineStr">
        <is>
          <t>Financeiro</t>
        </is>
      </c>
      <c r="B3" s="24">
        <f>CONT.SE(Dados!C$3:C$54,A3)</f>
        <v/>
      </c>
      <c r="C3" s="25">
        <f>SOMASE(Dados!C$3:C$54,A3,Dados!F$3:F$54)</f>
        <v/>
      </c>
      <c r="D3" s="25">
        <f>MEDIASE(Dados!C$3:C$54,A3,Dados!F$3:F$54)</f>
        <v/>
      </c>
      <c r="E3" s="25">
        <f>MAXSES(Dados!F$3:F$54,Dados!C$3:C$54,A3)</f>
        <v/>
      </c>
      <c r="F3" s="25">
        <f>MINSES(Dados!F$3:F$54,Dados!C$3:C$54,A3)</f>
        <v/>
      </c>
      <c r="G3" s="26">
        <f>C3/C$9</f>
        <v/>
      </c>
    </row>
    <row r="4">
      <c r="A4" s="27" t="inlineStr">
        <is>
          <t>Marketing</t>
        </is>
      </c>
      <c r="B4" s="24">
        <f>CONT.SE(Dados!C$3:C$54,A4)</f>
        <v/>
      </c>
      <c r="C4" s="25">
        <f>SOMASE(Dados!C$3:C$54,A4,Dados!F$3:F$54)</f>
        <v/>
      </c>
      <c r="D4" s="25">
        <f>MEDIASE(Dados!C$3:C$54,A4,Dados!F$3:F$54)</f>
        <v/>
      </c>
      <c r="E4" s="25">
        <f>MAXSES(Dados!F$3:F$54,Dados!C$3:C$54,A4)</f>
        <v/>
      </c>
      <c r="F4" s="25">
        <f>MINSES(Dados!F$3:F$54,Dados!C$3:C$54,A4)</f>
        <v/>
      </c>
      <c r="G4" s="26">
        <f>C4/C$9</f>
        <v/>
      </c>
    </row>
    <row r="5">
      <c r="A5" s="23" t="inlineStr">
        <is>
          <t>Operacoes</t>
        </is>
      </c>
      <c r="B5" s="24">
        <f>CONT.SE(Dados!C$3:C$54,A5)</f>
        <v/>
      </c>
      <c r="C5" s="25">
        <f>SOMASE(Dados!C$3:C$54,A5,Dados!F$3:F$54)</f>
        <v/>
      </c>
      <c r="D5" s="25">
        <f>MEDIASE(Dados!C$3:C$54,A5,Dados!F$3:F$54)</f>
        <v/>
      </c>
      <c r="E5" s="25">
        <f>MAXSES(Dados!F$3:F$54,Dados!C$3:C$54,A5)</f>
        <v/>
      </c>
      <c r="F5" s="25">
        <f>MINSES(Dados!F$3:F$54,Dados!C$3:C$54,A5)</f>
        <v/>
      </c>
      <c r="G5" s="26">
        <f>C5/C$9</f>
        <v/>
      </c>
    </row>
    <row r="6">
      <c r="A6" s="27" t="inlineStr">
        <is>
          <t>RH</t>
        </is>
      </c>
      <c r="B6" s="24">
        <f>CONT.SE(Dados!C$3:C$54,A6)</f>
        <v/>
      </c>
      <c r="C6" s="25">
        <f>SOMASE(Dados!C$3:C$54,A6,Dados!F$3:F$54)</f>
        <v/>
      </c>
      <c r="D6" s="25">
        <f>MEDIASE(Dados!C$3:C$54,A6,Dados!F$3:F$54)</f>
        <v/>
      </c>
      <c r="E6" s="25">
        <f>MAXSES(Dados!F$3:F$54,Dados!C$3:C$54,A6)</f>
        <v/>
      </c>
      <c r="F6" s="25">
        <f>MINSES(Dados!F$3:F$54,Dados!C$3:C$54,A6)</f>
        <v/>
      </c>
      <c r="G6" s="26">
        <f>C6/C$9</f>
        <v/>
      </c>
    </row>
    <row r="7">
      <c r="A7" s="23" t="inlineStr">
        <is>
          <t>TI</t>
        </is>
      </c>
      <c r="B7" s="24">
        <f>CONT.SE(Dados!C$3:C$54,A7)</f>
        <v/>
      </c>
      <c r="C7" s="25">
        <f>SOMASE(Dados!C$3:C$54,A7,Dados!F$3:F$54)</f>
        <v/>
      </c>
      <c r="D7" s="25">
        <f>MEDIASE(Dados!C$3:C$54,A7,Dados!F$3:F$54)</f>
        <v/>
      </c>
      <c r="E7" s="25">
        <f>MAXSES(Dados!F$3:F$54,Dados!C$3:C$54,A7)</f>
        <v/>
      </c>
      <c r="F7" s="25">
        <f>MINSES(Dados!F$3:F$54,Dados!C$3:C$54,A7)</f>
        <v/>
      </c>
      <c r="G7" s="26">
        <f>C7/C$9</f>
        <v/>
      </c>
    </row>
    <row r="8">
      <c r="A8" s="27" t="inlineStr">
        <is>
          <t>Vendas</t>
        </is>
      </c>
      <c r="B8" s="24">
        <f>CONT.SE(Dados!C$3:C$54,A8)</f>
        <v/>
      </c>
      <c r="C8" s="25">
        <f>SOMASE(Dados!C$3:C$54,A8,Dados!F$3:F$54)</f>
        <v/>
      </c>
      <c r="D8" s="25">
        <f>MEDIASE(Dados!C$3:C$54,A8,Dados!F$3:F$54)</f>
        <v/>
      </c>
      <c r="E8" s="25">
        <f>MAXSES(Dados!F$3:F$54,Dados!C$3:C$54,A8)</f>
        <v/>
      </c>
      <c r="F8" s="25">
        <f>MINSES(Dados!F$3:F$54,Dados!C$3:C$54,A8)</f>
        <v/>
      </c>
      <c r="G8" s="26">
        <f>C8/C$9</f>
        <v/>
      </c>
    </row>
    <row r="9">
      <c r="A9" s="28" t="inlineStr">
        <is>
          <t>TOTAL</t>
        </is>
      </c>
      <c r="B9" s="29">
        <f>SOMA(B3:B8)</f>
        <v/>
      </c>
      <c r="C9" s="30">
        <f>SOMA(C3:C8)</f>
        <v/>
      </c>
      <c r="D9" s="30">
        <f>MEDIA(Dados!F3:F54)</f>
        <v/>
      </c>
      <c r="E9" s="30">
        <f>MAXIMO(Dados!F3:F54)</f>
        <v/>
      </c>
      <c r="F9" s="30">
        <f>MINIMO(Dados!F3:F54)</f>
        <v/>
      </c>
      <c r="G9" s="31">
        <f>SOMA(G3:G8)</f>
        <v/>
      </c>
    </row>
    <row r="11">
      <c r="A11" s="21" t="inlineStr">
        <is>
          <t>Nota: MAXSES e MINSES requerem Excel 2019 ou 365. Em versoes mais antigas, use MAXIMO com SEERRO(INDICE...)</t>
        </is>
      </c>
    </row>
  </sheetData>
  <mergeCells count="2">
    <mergeCell ref="A11:G11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  <col width="38" customWidth="1" min="2" max="2"/>
    <col width="18" customWidth="1" min="3" max="3"/>
    <col width="3" customWidth="1" min="4" max="4"/>
    <col width="28" customWidth="1" min="5" max="5"/>
    <col width="38" customWidth="1" min="6" max="6"/>
  </cols>
  <sheetData>
    <row r="1" ht="25" customHeight="1">
      <c r="A1" s="13" t="inlineStr">
        <is>
          <t>Trabalhar com Datas no Excel</t>
        </is>
      </c>
    </row>
    <row r="2">
      <c r="A2" s="14" t="inlineStr">
        <is>
          <t>Funcao / Descricao</t>
        </is>
      </c>
      <c r="B2" s="14" t="inlineStr">
        <is>
          <t>Formula (referencia: Dados!G3 = data_admissao)</t>
        </is>
      </c>
      <c r="E2" s="14" t="inlineStr">
        <is>
          <t>Calculo Avancado</t>
        </is>
      </c>
      <c r="F2" s="14" t="inlineStr">
        <is>
          <t>Formula</t>
        </is>
      </c>
    </row>
    <row r="3">
      <c r="A3" s="15" t="inlineStr">
        <is>
          <t>Extrair Ano</t>
        </is>
      </c>
      <c r="B3" s="16">
        <f>ANO(Dados!G3)</f>
        <v/>
      </c>
      <c r="E3" s="15" t="inlineStr">
        <is>
          <t>Tempo de casa (dias)</t>
        </is>
      </c>
      <c r="F3" s="17">
        <f>HOJE()-Dados!G3</f>
        <v/>
      </c>
    </row>
    <row r="4">
      <c r="A4" s="15" t="inlineStr">
        <is>
          <t>Extrair Mes</t>
        </is>
      </c>
      <c r="B4" s="16">
        <f>MES(Dados!G3)</f>
        <v/>
      </c>
      <c r="E4" s="15" t="inlineStr">
        <is>
          <t>Tempo de casa (anos)</t>
        </is>
      </c>
      <c r="F4" s="32">
        <f>FRAÇÃO.ANO(Dados!G3,HOJE())</f>
        <v/>
      </c>
    </row>
    <row r="5">
      <c r="A5" s="15" t="inlineStr">
        <is>
          <t>Extrair Dia</t>
        </is>
      </c>
      <c r="B5" s="16">
        <f>DIA(Dados!G3)</f>
        <v/>
      </c>
      <c r="E5" s="15" t="inlineStr">
        <is>
          <t>Tempo de casa (meses)</t>
        </is>
      </c>
      <c r="F5" s="17">
        <f>DATAM(Dados!G3,0)</f>
        <v/>
      </c>
    </row>
    <row r="6">
      <c r="A6" s="15" t="inlineStr">
        <is>
          <t>Nome do Mes</t>
        </is>
      </c>
      <c r="B6" s="16">
        <f>TEXTO(Dados!G3,"MMMM")</f>
        <v/>
      </c>
      <c r="E6" s="15" t="inlineStr">
        <is>
          <t>Data + 30 dias</t>
        </is>
      </c>
      <c r="F6" s="33">
        <f>Dados!G3+30</f>
        <v/>
      </c>
    </row>
    <row r="7">
      <c r="A7" s="15" t="inlineStr">
        <is>
          <t>Dia da Semana (nome)</t>
        </is>
      </c>
      <c r="B7" s="16">
        <f>TEXTO(Dados!G3,"DDDD")</f>
        <v/>
      </c>
      <c r="E7" s="15" t="inlineStr">
        <is>
          <t>Primeiro dia do mes</t>
        </is>
      </c>
      <c r="F7" s="17">
        <f>DATA(ANO(Dados!G3),MES(Dados!G3),1)</f>
        <v/>
      </c>
    </row>
    <row r="8">
      <c r="A8" s="15" t="inlineStr">
        <is>
          <t>Numero dia semana</t>
        </is>
      </c>
      <c r="B8" s="16">
        <f>DIA.DA.SEMANA(Dados!G3,2)</f>
        <v/>
      </c>
      <c r="E8" s="15" t="inlineStr">
        <is>
          <t>Ultimo dia do mes</t>
        </is>
      </c>
      <c r="F8" s="17">
        <f>FIMMÊS(Dados!G3,0)</f>
        <v/>
      </c>
    </row>
    <row r="9">
      <c r="A9" s="15" t="inlineStr">
        <is>
          <t>Trimestre</t>
        </is>
      </c>
      <c r="B9" s="16">
        <f>INT((MES(Dados!G3)-1)/3)+1</f>
        <v/>
      </c>
      <c r="E9" s="15" t="inlineStr">
        <is>
          <t>Dias entre duas datas</t>
        </is>
      </c>
      <c r="F9" s="33">
        <f>DIAS(HOJE(),Dados!G3)</f>
        <v/>
      </c>
    </row>
    <row r="10">
      <c r="A10" s="15" t="inlineStr">
        <is>
          <t>Semana do ano</t>
        </is>
      </c>
      <c r="B10" s="16">
        <f>NUM.SEMANA(Dados!G3,2)</f>
        <v/>
      </c>
      <c r="E10" s="15" t="inlineStr">
        <is>
          <t>Dias uteis entre datas</t>
        </is>
      </c>
      <c r="F10" s="33">
        <f>DIATRABALHO(Dados!G3,30)</f>
        <v/>
      </c>
    </row>
    <row r="11">
      <c r="A11" s="15" t="inlineStr">
        <is>
          <t>Hoje</t>
        </is>
      </c>
      <c r="B11" s="34">
        <f>HOJE()</f>
        <v/>
      </c>
      <c r="E11" s="15" t="inlineStr">
        <is>
          <t>Filtrar ano 2023</t>
        </is>
      </c>
      <c r="F11" s="17">
        <f>CONT.SE(Dados!G3:G54,"&gt;=01/01/2023")-CONT.SE(Dados!G3:G54,"&gt;=01/01/2024")</f>
        <v/>
      </c>
    </row>
    <row r="12">
      <c r="A12" s="15" t="inlineStr">
        <is>
          <t>Agora</t>
        </is>
      </c>
      <c r="B12" s="35">
        <f>AGORA()</f>
        <v/>
      </c>
      <c r="E12" s="15" t="inlineStr">
        <is>
          <t>Mais recente admissao</t>
        </is>
      </c>
      <c r="F12" s="33">
        <f>MAXIMO(Dados!G3:G54)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2" customWidth="1" min="4" max="4"/>
    <col width="22" customWidth="1" min="5" max="5"/>
    <col width="18" customWidth="1" min="6" max="6"/>
    <col width="14" customWidth="1" min="7" max="7"/>
  </cols>
  <sheetData>
    <row r="1" ht="25" customHeight="1">
      <c r="A1" s="13" t="inlineStr">
        <is>
          <t>Coluna Condicional — SE, IFS, SEERRO, SWITCH</t>
        </is>
      </c>
    </row>
    <row r="2">
      <c r="A2" s="36" t="inlineStr">
        <is>
          <t>Nome</t>
        </is>
      </c>
      <c r="B2" s="36" t="inlineStr">
        <is>
          <t>Departamento</t>
        </is>
      </c>
      <c r="C2" s="36" t="inlineStr">
        <is>
          <t>Salario</t>
        </is>
      </c>
      <c r="D2" s="36" t="inlineStr">
        <is>
          <t>Nivel (SE aninhado)</t>
        </is>
      </c>
      <c r="E2" s="36" t="inlineStr">
        <is>
          <t>Nivel (IFS)</t>
        </is>
      </c>
      <c r="F2" s="36" t="inlineStr">
        <is>
          <t>Faixa Salarial</t>
        </is>
      </c>
      <c r="G2" s="36" t="inlineStr">
        <is>
          <t>Ativo Label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39">
        <f>SE(C3&gt;12000,"Especialista",SE(C3&gt;8000,"Senior",SE(C3&gt;5000,"Pleno","Junior")))</f>
        <v/>
      </c>
      <c r="E3" s="39">
        <f>IFS(C3&gt;12000,"Especialista",C3&gt;8000,"Senior",C3&gt;5000,"Pleno",VERDADEIRO,"Junior")</f>
        <v/>
      </c>
      <c r="F3" s="40">
        <f>SE(C3&gt;10000,"Alto",SE(C3&gt;6000,"Medio","Baixo"))</f>
        <v/>
      </c>
      <c r="G3" s="40">
        <f>SE(G3="Sim","Ativo","Inativo")</f>
        <v/>
      </c>
    </row>
    <row r="4">
      <c r="A4" s="41" t="inlineStr">
        <is>
          <t>Carlos</t>
        </is>
      </c>
      <c r="B4" s="41" t="inlineStr"/>
      <c r="C4" s="42" t="n">
        <v>4842.67</v>
      </c>
      <c r="D4" s="39">
        <f>SE(C4&gt;12000,"Especialista",SE(C4&gt;8000,"Senior",SE(C4&gt;5000,"Pleno","Junior")))</f>
        <v/>
      </c>
      <c r="E4" s="39">
        <f>IFS(C4&gt;12000,"Especialista",C4&gt;8000,"Senior",C4&gt;5000,"Pleno",VERDADEIRO,"Junior")</f>
        <v/>
      </c>
      <c r="F4" s="40">
        <f>SE(C4&gt;10000,"Alto",SE(C4&gt;6000,"Medio","Baixo"))</f>
        <v/>
      </c>
      <c r="G4" s="40">
        <f>SE(G4="Sim","Ativo","Inativo")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39">
        <f>SE(C5&gt;12000,"Especialista",SE(C5&gt;8000,"Senior",SE(C5&gt;5000,"Pleno","Junior")))</f>
        <v/>
      </c>
      <c r="E5" s="39">
        <f>IFS(C5&gt;12000,"Especialista",C5&gt;8000,"Senior",C5&gt;5000,"Pleno",VERDADEIRO,"Junior")</f>
        <v/>
      </c>
      <c r="F5" s="40">
        <f>SE(C5&gt;10000,"Alto",SE(C5&gt;6000,"Medio","Baixo"))</f>
        <v/>
      </c>
      <c r="G5" s="40">
        <f>SE(G5="Sim","Ativo","Inativo")</f>
        <v/>
      </c>
    </row>
    <row r="6">
      <c r="A6" s="41" t="inlineStr">
        <is>
          <t>Maria</t>
        </is>
      </c>
      <c r="B6" s="41" t="inlineStr">
        <is>
          <t>RH</t>
        </is>
      </c>
      <c r="C6" s="42" t="n">
        <v>4102.85</v>
      </c>
      <c r="D6" s="39">
        <f>SE(C6&gt;12000,"Especialista",SE(C6&gt;8000,"Senior",SE(C6&gt;5000,"Pleno","Junior")))</f>
        <v/>
      </c>
      <c r="E6" s="39">
        <f>IFS(C6&gt;12000,"Especialista",C6&gt;8000,"Senior",C6&gt;5000,"Pleno",VERDADEIRO,"Junior")</f>
        <v/>
      </c>
      <c r="F6" s="40">
        <f>SE(C6&gt;10000,"Alto",SE(C6&gt;6000,"Medio","Baixo"))</f>
        <v/>
      </c>
      <c r="G6" s="40">
        <f>SE(G6="Sim","Ativo","Inativo")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39">
        <f>SE(C7&gt;12000,"Especialista",SE(C7&gt;8000,"Senior",SE(C7&gt;5000,"Pleno","Junior")))</f>
        <v/>
      </c>
      <c r="E7" s="39">
        <f>IFS(C7&gt;12000,"Especialista",C7&gt;8000,"Senior",C7&gt;5000,"Pleno",VERDADEIRO,"Junior")</f>
        <v/>
      </c>
      <c r="F7" s="40">
        <f>SE(C7&gt;10000,"Alto",SE(C7&gt;6000,"Medio","Baixo"))</f>
        <v/>
      </c>
      <c r="G7" s="40">
        <f>SE(G7="Sim","Ativo","Inativo")</f>
        <v/>
      </c>
    </row>
    <row r="8">
      <c r="A8" s="41" t="inlineStr">
        <is>
          <t>Fernanda</t>
        </is>
      </c>
      <c r="B8" s="41" t="inlineStr">
        <is>
          <t>RH</t>
        </is>
      </c>
      <c r="C8" s="42" t="n">
        <v>9059.57</v>
      </c>
      <c r="D8" s="39">
        <f>SE(C8&gt;12000,"Especialista",SE(C8&gt;8000,"Senior",SE(C8&gt;5000,"Pleno","Junior")))</f>
        <v/>
      </c>
      <c r="E8" s="39">
        <f>IFS(C8&gt;12000,"Especialista",C8&gt;8000,"Senior",C8&gt;5000,"Pleno",VERDADEIRO,"Junior")</f>
        <v/>
      </c>
      <c r="F8" s="40">
        <f>SE(C8&gt;10000,"Alto",SE(C8&gt;6000,"Medio","Baixo"))</f>
        <v/>
      </c>
      <c r="G8" s="40">
        <f>SE(G8="Sim","Ativo","Inativo")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39">
        <f>SE(C9&gt;12000,"Especialista",SE(C9&gt;8000,"Senior",SE(C9&gt;5000,"Pleno","Junior")))</f>
        <v/>
      </c>
      <c r="E9" s="39">
        <f>IFS(C9&gt;12000,"Especialista",C9&gt;8000,"Senior",C9&gt;5000,"Pleno",VERDADEIRO,"Junior")</f>
        <v/>
      </c>
      <c r="F9" s="40">
        <f>SE(C9&gt;10000,"Alto",SE(C9&gt;6000,"Medio","Baixo"))</f>
        <v/>
      </c>
      <c r="G9" s="40">
        <f>SE(G9="Sim","Ativo","Inativo")</f>
        <v/>
      </c>
    </row>
    <row r="10">
      <c r="A10" s="41" t="inlineStr">
        <is>
          <t>Juliana</t>
        </is>
      </c>
      <c r="B10" s="41" t="inlineStr">
        <is>
          <t>Marketing</t>
        </is>
      </c>
      <c r="C10" s="42" t="n"/>
      <c r="D10" s="39">
        <f>SE(C10&gt;12000,"Especialista",SE(C10&gt;8000,"Senior",SE(C10&gt;5000,"Pleno","Junior")))</f>
        <v/>
      </c>
      <c r="E10" s="39">
        <f>IFS(C10&gt;12000,"Especialista",C10&gt;8000,"Senior",C10&gt;5000,"Pleno",VERDADEIRO,"Junior")</f>
        <v/>
      </c>
      <c r="F10" s="40">
        <f>SE(C10&gt;10000,"Alto",SE(C10&gt;6000,"Medio","Baixo"))</f>
        <v/>
      </c>
      <c r="G10" s="40">
        <f>SE(G10="Sim","Ativo","Inativo")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39">
        <f>SE(C11&gt;12000,"Especialista",SE(C11&gt;8000,"Senior",SE(C11&gt;5000,"Pleno","Junior")))</f>
        <v/>
      </c>
      <c r="E11" s="39">
        <f>IFS(C11&gt;12000,"Especialista",C11&gt;8000,"Senior",C11&gt;5000,"Pleno",VERDADEIRO,"Junior")</f>
        <v/>
      </c>
      <c r="F11" s="40">
        <f>SE(C11&gt;10000,"Alto",SE(C11&gt;6000,"Medio","Baixo"))</f>
        <v/>
      </c>
      <c r="G11" s="40">
        <f>SE(G11="Sim","Ativo","Inativo")</f>
        <v/>
      </c>
    </row>
    <row r="12">
      <c r="A12" s="41" t="inlineStr">
        <is>
          <t>Camila</t>
        </is>
      </c>
      <c r="B12" s="41" t="inlineStr">
        <is>
          <t>Operações</t>
        </is>
      </c>
      <c r="C12" s="42" t="n"/>
      <c r="D12" s="39">
        <f>SE(C12&gt;12000,"Especialista",SE(C12&gt;8000,"Senior",SE(C12&gt;5000,"Pleno","Junior")))</f>
        <v/>
      </c>
      <c r="E12" s="39">
        <f>IFS(C12&gt;12000,"Especialista",C12&gt;8000,"Senior",C12&gt;5000,"Pleno",VERDADEIRO,"Junior")</f>
        <v/>
      </c>
      <c r="F12" s="40">
        <f>SE(C12&gt;10000,"Alto",SE(C12&gt;6000,"Medio","Baixo"))</f>
        <v/>
      </c>
      <c r="G12" s="40">
        <f>SE(G12="Sim","Ativo","Inativo")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39">
        <f>SE(C13&gt;12000,"Especialista",SE(C13&gt;8000,"Senior",SE(C13&gt;5000,"Pleno","Junior")))</f>
        <v/>
      </c>
      <c r="E13" s="39">
        <f>IFS(C13&gt;12000,"Especialista",C13&gt;8000,"Senior",C13&gt;5000,"Pleno",VERDADEIRO,"Junior")</f>
        <v/>
      </c>
      <c r="F13" s="40">
        <f>SE(C13&gt;10000,"Alto",SE(C13&gt;6000,"Medio","Baixo"))</f>
        <v/>
      </c>
      <c r="G13" s="40">
        <f>SE(G13="Sim","Ativo","Inativo")</f>
        <v/>
      </c>
    </row>
    <row r="14">
      <c r="A14" s="41" t="inlineStr">
        <is>
          <t>Larissa</t>
        </is>
      </c>
      <c r="B14" s="41" t="inlineStr">
        <is>
          <t>TI</t>
        </is>
      </c>
      <c r="C14" s="42" t="n">
        <v>13862.23</v>
      </c>
      <c r="D14" s="39">
        <f>SE(C14&gt;12000,"Especialista",SE(C14&gt;8000,"Senior",SE(C14&gt;5000,"Pleno","Junior")))</f>
        <v/>
      </c>
      <c r="E14" s="39">
        <f>IFS(C14&gt;12000,"Especialista",C14&gt;8000,"Senior",C14&gt;5000,"Pleno",VERDADEIRO,"Junior")</f>
        <v/>
      </c>
      <c r="F14" s="40">
        <f>SE(C14&gt;10000,"Alto",SE(C14&gt;6000,"Medio","Baixo"))</f>
        <v/>
      </c>
      <c r="G14" s="40">
        <f>SE(G14="Sim","Ativo","Inativo")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39">
        <f>SE(C15&gt;12000,"Especialista",SE(C15&gt;8000,"Senior",SE(C15&gt;5000,"Pleno","Junior")))</f>
        <v/>
      </c>
      <c r="E15" s="39">
        <f>IFS(C15&gt;12000,"Especialista",C15&gt;8000,"Senior",C15&gt;5000,"Pleno",VERDADEIRO,"Junior")</f>
        <v/>
      </c>
      <c r="F15" s="40">
        <f>SE(C15&gt;10000,"Alto",SE(C15&gt;6000,"Medio","Baixo"))</f>
        <v/>
      </c>
      <c r="G15" s="40">
        <f>SE(G15="Sim","Ativo","Inativo")</f>
        <v/>
      </c>
    </row>
    <row r="16">
      <c r="A16" s="41" t="inlineStr">
        <is>
          <t>Patrícia</t>
        </is>
      </c>
      <c r="B16" s="41" t="inlineStr">
        <is>
          <t>Vendas</t>
        </is>
      </c>
      <c r="C16" s="42" t="n">
        <v>9862.6</v>
      </c>
      <c r="D16" s="39">
        <f>SE(C16&gt;12000,"Especialista",SE(C16&gt;8000,"Senior",SE(C16&gt;5000,"Pleno","Junior")))</f>
        <v/>
      </c>
      <c r="E16" s="39">
        <f>IFS(C16&gt;12000,"Especialista",C16&gt;8000,"Senior",C16&gt;5000,"Pleno",VERDADEIRO,"Junior")</f>
        <v/>
      </c>
      <c r="F16" s="40">
        <f>SE(C16&gt;10000,"Alto",SE(C16&gt;6000,"Medio","Baixo"))</f>
        <v/>
      </c>
      <c r="G16" s="40">
        <f>SE(G16="Sim","Ativo","Inativo")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39">
        <f>SE(C17&gt;12000,"Especialista",SE(C17&gt;8000,"Senior",SE(C17&gt;5000,"Pleno","Junior")))</f>
        <v/>
      </c>
      <c r="E17" s="39">
        <f>IFS(C17&gt;12000,"Especialista",C17&gt;8000,"Senior",C17&gt;5000,"Pleno",VERDADEIRO,"Junior")</f>
        <v/>
      </c>
      <c r="F17" s="40">
        <f>SE(C17&gt;10000,"Alto",SE(C17&gt;6000,"Medio","Baixo"))</f>
        <v/>
      </c>
      <c r="G17" s="40">
        <f>SE(G17="Sim","Ativo","Inativo")</f>
        <v/>
      </c>
    </row>
    <row r="18">
      <c r="A18" s="41" t="inlineStr">
        <is>
          <t>Renata</t>
        </is>
      </c>
      <c r="B18" s="41" t="inlineStr">
        <is>
          <t>Vendas</t>
        </is>
      </c>
      <c r="C18" s="42" t="n">
        <v>8937.76</v>
      </c>
      <c r="D18" s="39">
        <f>SE(C18&gt;12000,"Especialista",SE(C18&gt;8000,"Senior",SE(C18&gt;5000,"Pleno","Junior")))</f>
        <v/>
      </c>
      <c r="E18" s="39">
        <f>IFS(C18&gt;12000,"Especialista",C18&gt;8000,"Senior",C18&gt;5000,"Pleno",VERDADEIRO,"Junior")</f>
        <v/>
      </c>
      <c r="F18" s="40">
        <f>SE(C18&gt;10000,"Alto",SE(C18&gt;6000,"Medio","Baixo"))</f>
        <v/>
      </c>
      <c r="G18" s="40">
        <f>SE(G18="Sim","Ativo","Inativo")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39">
        <f>SE(C19&gt;12000,"Especialista",SE(C19&gt;8000,"Senior",SE(C19&gt;5000,"Pleno","Junior")))</f>
        <v/>
      </c>
      <c r="E19" s="39">
        <f>IFS(C19&gt;12000,"Especialista",C19&gt;8000,"Senior",C19&gt;5000,"Pleno",VERDADEIRO,"Junior")</f>
        <v/>
      </c>
      <c r="F19" s="40">
        <f>SE(C19&gt;10000,"Alto",SE(C19&gt;6000,"Medio","Baixo"))</f>
        <v/>
      </c>
      <c r="G19" s="40">
        <f>SE(G19="Sim","Ativo","Inativo")</f>
        <v/>
      </c>
    </row>
    <row r="20">
      <c r="A20" s="41" t="inlineStr">
        <is>
          <t>Daniela</t>
        </is>
      </c>
      <c r="B20" s="41" t="inlineStr"/>
      <c r="C20" s="42" t="n">
        <v>7324.01</v>
      </c>
      <c r="D20" s="39">
        <f>SE(C20&gt;12000,"Especialista",SE(C20&gt;8000,"Senior",SE(C20&gt;5000,"Pleno","Junior")))</f>
        <v/>
      </c>
      <c r="E20" s="39">
        <f>IFS(C20&gt;12000,"Especialista",C20&gt;8000,"Senior",C20&gt;5000,"Pleno",VERDADEIRO,"Junior")</f>
        <v/>
      </c>
      <c r="F20" s="40">
        <f>SE(C20&gt;10000,"Alto",SE(C20&gt;6000,"Medio","Baixo"))</f>
        <v/>
      </c>
      <c r="G20" s="40">
        <f>SE(G20="Sim","Ativo","Inativo")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39">
        <f>SE(C21&gt;12000,"Especialista",SE(C21&gt;8000,"Senior",SE(C21&gt;5000,"Pleno","Junior")))</f>
        <v/>
      </c>
      <c r="E21" s="39">
        <f>IFS(C21&gt;12000,"Especialista",C21&gt;8000,"Senior",C21&gt;5000,"Pleno",VERDADEIRO,"Junior")</f>
        <v/>
      </c>
      <c r="F21" s="40">
        <f>SE(C21&gt;10000,"Alto",SE(C21&gt;6000,"Medio","Baixo"))</f>
        <v/>
      </c>
      <c r="G21" s="40">
        <f>SE(G21="Sim","Ativo","Inativo")</f>
        <v/>
      </c>
    </row>
    <row r="22">
      <c r="A22" s="41" t="inlineStr">
        <is>
          <t>Amanda</t>
        </is>
      </c>
      <c r="B22" s="41" t="inlineStr">
        <is>
          <t>Vendas</t>
        </is>
      </c>
      <c r="C22" s="42" t="n">
        <v>10267.47</v>
      </c>
      <c r="D22" s="39">
        <f>SE(C22&gt;12000,"Especialista",SE(C22&gt;8000,"Senior",SE(C22&gt;5000,"Pleno","Junior")))</f>
        <v/>
      </c>
      <c r="E22" s="39">
        <f>IFS(C22&gt;12000,"Especialista",C22&gt;8000,"Senior",C22&gt;5000,"Pleno",VERDADEIRO,"Junior")</f>
        <v/>
      </c>
      <c r="F22" s="40">
        <f>SE(C22&gt;10000,"Alto",SE(C22&gt;6000,"Medio","Baixo"))</f>
        <v/>
      </c>
      <c r="G22" s="40">
        <f>SE(G22="Sim","Ativo","Inativo")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39">
        <f>SE(C23&gt;12000,"Especialista",SE(C23&gt;8000,"Senior",SE(C23&gt;5000,"Pleno","Junior")))</f>
        <v/>
      </c>
      <c r="E23" s="39">
        <f>IFS(C23&gt;12000,"Especialista",C23&gt;8000,"Senior",C23&gt;5000,"Pleno",VERDADEIRO,"Junior")</f>
        <v/>
      </c>
      <c r="F23" s="40">
        <f>SE(C23&gt;10000,"Alto",SE(C23&gt;6000,"Medio","Baixo"))</f>
        <v/>
      </c>
      <c r="G23" s="40">
        <f>SE(G23="Sim","Ativo","Inativo")</f>
        <v/>
      </c>
    </row>
    <row r="24">
      <c r="A24" s="41" t="inlineStr">
        <is>
          <t>Vanessa</t>
        </is>
      </c>
      <c r="B24" s="41" t="inlineStr">
        <is>
          <t>RH</t>
        </is>
      </c>
      <c r="C24" s="42" t="n">
        <v>5123.74</v>
      </c>
      <c r="D24" s="39">
        <f>SE(C24&gt;12000,"Especialista",SE(C24&gt;8000,"Senior",SE(C24&gt;5000,"Pleno","Junior")))</f>
        <v/>
      </c>
      <c r="E24" s="39">
        <f>IFS(C24&gt;12000,"Especialista",C24&gt;8000,"Senior",C24&gt;5000,"Pleno",VERDADEIRO,"Junior")</f>
        <v/>
      </c>
      <c r="F24" s="40">
        <f>SE(C24&gt;10000,"Alto",SE(C24&gt;6000,"Medio","Baixo"))</f>
        <v/>
      </c>
      <c r="G24" s="40">
        <f>SE(G24="Sim","Ativo","Inativo")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39">
        <f>SE(C25&gt;12000,"Especialista",SE(C25&gt;8000,"Senior",SE(C25&gt;5000,"Pleno","Junior")))</f>
        <v/>
      </c>
      <c r="E25" s="39">
        <f>IFS(C25&gt;12000,"Especialista",C25&gt;8000,"Senior",C25&gt;5000,"Pleno",VERDADEIRO,"Junior")</f>
        <v/>
      </c>
      <c r="F25" s="40">
        <f>SE(C25&gt;10000,"Alto",SE(C25&gt;6000,"Medio","Baixo"))</f>
        <v/>
      </c>
      <c r="G25" s="40">
        <f>SE(G25="Sim","Ativo","Inativo")</f>
        <v/>
      </c>
    </row>
    <row r="26">
      <c r="A26" s="41" t="inlineStr">
        <is>
          <t>Aline</t>
        </is>
      </c>
      <c r="B26" s="41" t="inlineStr">
        <is>
          <t>Financeiro</t>
        </is>
      </c>
      <c r="C26" s="42" t="n">
        <v>9364.59</v>
      </c>
      <c r="D26" s="39">
        <f>SE(C26&gt;12000,"Especialista",SE(C26&gt;8000,"Senior",SE(C26&gt;5000,"Pleno","Junior")))</f>
        <v/>
      </c>
      <c r="E26" s="39">
        <f>IFS(C26&gt;12000,"Especialista",C26&gt;8000,"Senior",C26&gt;5000,"Pleno",VERDADEIRO,"Junior")</f>
        <v/>
      </c>
      <c r="F26" s="40">
        <f>SE(C26&gt;10000,"Alto",SE(C26&gt;6000,"Medio","Baixo"))</f>
        <v/>
      </c>
      <c r="G26" s="40">
        <f>SE(G26="Sim","Ativo","Inativo")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39">
        <f>SE(C27&gt;12000,"Especialista",SE(C27&gt;8000,"Senior",SE(C27&gt;5000,"Pleno","Junior")))</f>
        <v/>
      </c>
      <c r="E27" s="39">
        <f>IFS(C27&gt;12000,"Especialista",C27&gt;8000,"Senior",C27&gt;5000,"Pleno",VERDADEIRO,"Junior")</f>
        <v/>
      </c>
      <c r="F27" s="40">
        <f>SE(C27&gt;10000,"Alto",SE(C27&gt;6000,"Medio","Baixo"))</f>
        <v/>
      </c>
      <c r="G27" s="40">
        <f>SE(G27="Sim","Ativo","Inativo")</f>
        <v/>
      </c>
    </row>
    <row r="28">
      <c r="A28" s="41" t="inlineStr">
        <is>
          <t>Cristina</t>
        </is>
      </c>
      <c r="B28" s="41" t="inlineStr">
        <is>
          <t>TI</t>
        </is>
      </c>
      <c r="C28" s="42" t="n">
        <v>5890.78</v>
      </c>
      <c r="D28" s="39">
        <f>SE(C28&gt;12000,"Especialista",SE(C28&gt;8000,"Senior",SE(C28&gt;5000,"Pleno","Junior")))</f>
        <v/>
      </c>
      <c r="E28" s="39">
        <f>IFS(C28&gt;12000,"Especialista",C28&gt;8000,"Senior",C28&gt;5000,"Pleno",VERDADEIRO,"Junior")</f>
        <v/>
      </c>
      <c r="F28" s="40">
        <f>SE(C28&gt;10000,"Alto",SE(C28&gt;6000,"Medio","Baixo"))</f>
        <v/>
      </c>
      <c r="G28" s="40">
        <f>SE(G28="Sim","Ativo","Inativo")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39">
        <f>SE(C29&gt;12000,"Especialista",SE(C29&gt;8000,"Senior",SE(C29&gt;5000,"Pleno","Junior")))</f>
        <v/>
      </c>
      <c r="E29" s="39">
        <f>IFS(C29&gt;12000,"Especialista",C29&gt;8000,"Senior",C29&gt;5000,"Pleno",VERDADEIRO,"Junior")</f>
        <v/>
      </c>
      <c r="F29" s="40">
        <f>SE(C29&gt;10000,"Alto",SE(C29&gt;6000,"Medio","Baixo"))</f>
        <v/>
      </c>
      <c r="G29" s="40">
        <f>SE(G29="Sim","Ativo","Inativo")</f>
        <v/>
      </c>
    </row>
    <row r="30">
      <c r="A30" s="41" t="inlineStr">
        <is>
          <t>Priscila</t>
        </is>
      </c>
      <c r="B30" s="41" t="inlineStr"/>
      <c r="C30" s="42" t="n">
        <v>12224.44</v>
      </c>
      <c r="D30" s="39">
        <f>SE(C30&gt;12000,"Especialista",SE(C30&gt;8000,"Senior",SE(C30&gt;5000,"Pleno","Junior")))</f>
        <v/>
      </c>
      <c r="E30" s="39">
        <f>IFS(C30&gt;12000,"Especialista",C30&gt;8000,"Senior",C30&gt;5000,"Pleno",VERDADEIRO,"Junior")</f>
        <v/>
      </c>
      <c r="F30" s="40">
        <f>SE(C30&gt;10000,"Alto",SE(C30&gt;6000,"Medio","Baixo"))</f>
        <v/>
      </c>
      <c r="G30" s="40">
        <f>SE(G30="Sim","Ativo","Inativo")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39">
        <f>SE(C31&gt;12000,"Especialista",SE(C31&gt;8000,"Senior",SE(C31&gt;5000,"Pleno","Junior")))</f>
        <v/>
      </c>
      <c r="E31" s="39">
        <f>IFS(C31&gt;12000,"Especialista",C31&gt;8000,"Senior",C31&gt;5000,"Pleno",VERDADEIRO,"Junior")</f>
        <v/>
      </c>
      <c r="F31" s="40">
        <f>SE(C31&gt;10000,"Alto",SE(C31&gt;6000,"Medio","Baixo"))</f>
        <v/>
      </c>
      <c r="G31" s="40">
        <f>SE(G31="Sim","Ativo","Inativo")</f>
        <v/>
      </c>
    </row>
    <row r="32">
      <c r="A32" s="41" t="inlineStr">
        <is>
          <t>Tatiana</t>
        </is>
      </c>
      <c r="B32" s="41" t="inlineStr">
        <is>
          <t>Operações</t>
        </is>
      </c>
      <c r="C32" s="42" t="n">
        <v>6592.4</v>
      </c>
      <c r="D32" s="39">
        <f>SE(C32&gt;12000,"Especialista",SE(C32&gt;8000,"Senior",SE(C32&gt;5000,"Pleno","Junior")))</f>
        <v/>
      </c>
      <c r="E32" s="39">
        <f>IFS(C32&gt;12000,"Especialista",C32&gt;8000,"Senior",C32&gt;5000,"Pleno",VERDADEIRO,"Junior")</f>
        <v/>
      </c>
      <c r="F32" s="40">
        <f>SE(C32&gt;10000,"Alto",SE(C32&gt;6000,"Medio","Baixo"))</f>
        <v/>
      </c>
      <c r="G32" s="40">
        <f>SE(G32="Sim","Ativo","Inativo")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39">
        <f>SE(C33&gt;12000,"Especialista",SE(C33&gt;8000,"Senior",SE(C33&gt;5000,"Pleno","Junior")))</f>
        <v/>
      </c>
      <c r="E33" s="39">
        <f>IFS(C33&gt;12000,"Especialista",C33&gt;8000,"Senior",C33&gt;5000,"Pleno",VERDADEIRO,"Junior")</f>
        <v/>
      </c>
      <c r="F33" s="40">
        <f>SE(C33&gt;10000,"Alto",SE(C33&gt;6000,"Medio","Baixo"))</f>
        <v/>
      </c>
      <c r="G33" s="40">
        <f>SE(G33="Sim","Ativo","Inativo")</f>
        <v/>
      </c>
    </row>
    <row r="34">
      <c r="A34" s="41" t="inlineStr">
        <is>
          <t>Mariana</t>
        </is>
      </c>
      <c r="B34" s="41" t="inlineStr">
        <is>
          <t>Marketing</t>
        </is>
      </c>
      <c r="C34" s="42" t="n">
        <v>5008.97</v>
      </c>
      <c r="D34" s="39">
        <f>SE(C34&gt;12000,"Especialista",SE(C34&gt;8000,"Senior",SE(C34&gt;5000,"Pleno","Junior")))</f>
        <v/>
      </c>
      <c r="E34" s="39">
        <f>IFS(C34&gt;12000,"Especialista",C34&gt;8000,"Senior",C34&gt;5000,"Pleno",VERDADEIRO,"Junior")</f>
        <v/>
      </c>
      <c r="F34" s="40">
        <f>SE(C34&gt;10000,"Alto",SE(C34&gt;6000,"Medio","Baixo"))</f>
        <v/>
      </c>
      <c r="G34" s="40">
        <f>SE(G34="Sim","Ativo","Inativo")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39">
        <f>SE(C35&gt;12000,"Especialista",SE(C35&gt;8000,"Senior",SE(C35&gt;5000,"Pleno","Junior")))</f>
        <v/>
      </c>
      <c r="E35" s="39">
        <f>IFS(C35&gt;12000,"Especialista",C35&gt;8000,"Senior",C35&gt;5000,"Pleno",VERDADEIRO,"Junior")</f>
        <v/>
      </c>
      <c r="F35" s="40">
        <f>SE(C35&gt;10000,"Alto",SE(C35&gt;6000,"Medio","Baixo"))</f>
        <v/>
      </c>
      <c r="G35" s="40">
        <f>SE(G35="Sim","Ativo","Inativo")</f>
        <v/>
      </c>
    </row>
    <row r="36">
      <c r="A36" s="41" t="inlineStr">
        <is>
          <t>Beatriz</t>
        </is>
      </c>
      <c r="B36" s="41" t="inlineStr">
        <is>
          <t>Marketing</t>
        </is>
      </c>
      <c r="C36" s="42" t="n">
        <v>9676.76</v>
      </c>
      <c r="D36" s="39">
        <f>SE(C36&gt;12000,"Especialista",SE(C36&gt;8000,"Senior",SE(C36&gt;5000,"Pleno","Junior")))</f>
        <v/>
      </c>
      <c r="E36" s="39">
        <f>IFS(C36&gt;12000,"Especialista",C36&gt;8000,"Senior",C36&gt;5000,"Pleno",VERDADEIRO,"Junior")</f>
        <v/>
      </c>
      <c r="F36" s="40">
        <f>SE(C36&gt;10000,"Alto",SE(C36&gt;6000,"Medio","Baixo"))</f>
        <v/>
      </c>
      <c r="G36" s="40">
        <f>SE(G36="Sim","Ativo","Inativo")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39">
        <f>SE(C37&gt;12000,"Especialista",SE(C37&gt;8000,"Senior",SE(C37&gt;5000,"Pleno","Junior")))</f>
        <v/>
      </c>
      <c r="E37" s="39">
        <f>IFS(C37&gt;12000,"Especialista",C37&gt;8000,"Senior",C37&gt;5000,"Pleno",VERDADEIRO,"Junior")</f>
        <v/>
      </c>
      <c r="F37" s="40">
        <f>SE(C37&gt;10000,"Alto",SE(C37&gt;6000,"Medio","Baixo"))</f>
        <v/>
      </c>
      <c r="G37" s="40">
        <f>SE(G37="Sim","Ativo","Inativo")</f>
        <v/>
      </c>
    </row>
    <row r="38">
      <c r="A38" s="41" t="inlineStr">
        <is>
          <t>Érica</t>
        </is>
      </c>
      <c r="B38" s="41" t="inlineStr">
        <is>
          <t>Vendas</t>
        </is>
      </c>
      <c r="C38" s="42" t="n">
        <v>10781.45</v>
      </c>
      <c r="D38" s="39">
        <f>SE(C38&gt;12000,"Especialista",SE(C38&gt;8000,"Senior",SE(C38&gt;5000,"Pleno","Junior")))</f>
        <v/>
      </c>
      <c r="E38" s="39">
        <f>IFS(C38&gt;12000,"Especialista",C38&gt;8000,"Senior",C38&gt;5000,"Pleno",VERDADEIRO,"Junior")</f>
        <v/>
      </c>
      <c r="F38" s="40">
        <f>SE(C38&gt;10000,"Alto",SE(C38&gt;6000,"Medio","Baixo"))</f>
        <v/>
      </c>
      <c r="G38" s="40">
        <f>SE(G38="Sim","Ativo","Inativo")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39">
        <f>SE(C39&gt;12000,"Especialista",SE(C39&gt;8000,"Senior",SE(C39&gt;5000,"Pleno","Junior")))</f>
        <v/>
      </c>
      <c r="E39" s="39">
        <f>IFS(C39&gt;12000,"Especialista",C39&gt;8000,"Senior",C39&gt;5000,"Pleno",VERDADEIRO,"Junior")</f>
        <v/>
      </c>
      <c r="F39" s="40">
        <f>SE(C39&gt;10000,"Alto",SE(C39&gt;6000,"Medio","Baixo"))</f>
        <v/>
      </c>
      <c r="G39" s="40">
        <f>SE(G39="Sim","Ativo","Inativo")</f>
        <v/>
      </c>
    </row>
    <row r="40">
      <c r="A40" s="41" t="inlineStr">
        <is>
          <t>Letícia</t>
        </is>
      </c>
      <c r="B40" s="41" t="inlineStr">
        <is>
          <t>RH</t>
        </is>
      </c>
      <c r="C40" s="42" t="n">
        <v>4949</v>
      </c>
      <c r="D40" s="39">
        <f>SE(C40&gt;12000,"Especialista",SE(C40&gt;8000,"Senior",SE(C40&gt;5000,"Pleno","Junior")))</f>
        <v/>
      </c>
      <c r="E40" s="39">
        <f>IFS(C40&gt;12000,"Especialista",C40&gt;8000,"Senior",C40&gt;5000,"Pleno",VERDADEIRO,"Junior")</f>
        <v/>
      </c>
      <c r="F40" s="40">
        <f>SE(C40&gt;10000,"Alto",SE(C40&gt;6000,"Medio","Baixo"))</f>
        <v/>
      </c>
      <c r="G40" s="40">
        <f>SE(G40="Sim","Ativo","Inativo")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39">
        <f>SE(C41&gt;12000,"Especialista",SE(C41&gt;8000,"Senior",SE(C41&gt;5000,"Pleno","Junior")))</f>
        <v/>
      </c>
      <c r="E41" s="39">
        <f>IFS(C41&gt;12000,"Especialista",C41&gt;8000,"Senior",C41&gt;5000,"Pleno",VERDADEIRO,"Junior")</f>
        <v/>
      </c>
      <c r="F41" s="40">
        <f>SE(C41&gt;10000,"Alto",SE(C41&gt;6000,"Medio","Baixo"))</f>
        <v/>
      </c>
      <c r="G41" s="40">
        <f>SE(G41="Sim","Ativo","Inativo")</f>
        <v/>
      </c>
    </row>
    <row r="42">
      <c r="A42" s="41" t="inlineStr">
        <is>
          <t>Natália</t>
        </is>
      </c>
      <c r="B42" s="41" t="inlineStr">
        <is>
          <t>RH</t>
        </is>
      </c>
      <c r="C42" s="42" t="n">
        <v>4204.62</v>
      </c>
      <c r="D42" s="39">
        <f>SE(C42&gt;12000,"Especialista",SE(C42&gt;8000,"Senior",SE(C42&gt;5000,"Pleno","Junior")))</f>
        <v/>
      </c>
      <c r="E42" s="39">
        <f>IFS(C42&gt;12000,"Especialista",C42&gt;8000,"Senior",C42&gt;5000,"Pleno",VERDADEIRO,"Junior")</f>
        <v/>
      </c>
      <c r="F42" s="40">
        <f>SE(C42&gt;10000,"Alto",SE(C42&gt;6000,"Medio","Baixo"))</f>
        <v/>
      </c>
      <c r="G42" s="40">
        <f>SE(G42="Sim","Ativo","Inativo")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39">
        <f>SE(C43&gt;12000,"Especialista",SE(C43&gt;8000,"Senior",SE(C43&gt;5000,"Pleno","Junior")))</f>
        <v/>
      </c>
      <c r="E43" s="39">
        <f>IFS(C43&gt;12000,"Especialista",C43&gt;8000,"Senior",C43&gt;5000,"Pleno",VERDADEIRO,"Junior")</f>
        <v/>
      </c>
      <c r="F43" s="40">
        <f>SE(C43&gt;10000,"Alto",SE(C43&gt;6000,"Medio","Baixo"))</f>
        <v/>
      </c>
      <c r="G43" s="40">
        <f>SE(G43="Sim","Ativo","Inativo")</f>
        <v/>
      </c>
    </row>
    <row r="44">
      <c r="A44" s="41" t="inlineStr">
        <is>
          <t>Sabrina</t>
        </is>
      </c>
      <c r="B44" s="41" t="inlineStr">
        <is>
          <t>Financeiro</t>
        </is>
      </c>
      <c r="C44" s="42" t="n">
        <v>15412.06</v>
      </c>
      <c r="D44" s="39">
        <f>SE(C44&gt;12000,"Especialista",SE(C44&gt;8000,"Senior",SE(C44&gt;5000,"Pleno","Junior")))</f>
        <v/>
      </c>
      <c r="E44" s="39">
        <f>IFS(C44&gt;12000,"Especialista",C44&gt;8000,"Senior",C44&gt;5000,"Pleno",VERDADEIRO,"Junior")</f>
        <v/>
      </c>
      <c r="F44" s="40">
        <f>SE(C44&gt;10000,"Alto",SE(C44&gt;6000,"Medio","Baixo"))</f>
        <v/>
      </c>
      <c r="G44" s="40">
        <f>SE(G44="Sim","Ativo","Inativo")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39">
        <f>SE(C45&gt;12000,"Especialista",SE(C45&gt;8000,"Senior",SE(C45&gt;5000,"Pleno","Junior")))</f>
        <v/>
      </c>
      <c r="E45" s="39">
        <f>IFS(C45&gt;12000,"Especialista",C45&gt;8000,"Senior",C45&gt;5000,"Pleno",VERDADEIRO,"Junior")</f>
        <v/>
      </c>
      <c r="F45" s="40">
        <f>SE(C45&gt;10000,"Alto",SE(C45&gt;6000,"Medio","Baixo"))</f>
        <v/>
      </c>
      <c r="G45" s="40">
        <f>SE(G45="Sim","Ativo","Inativo")</f>
        <v/>
      </c>
    </row>
    <row r="46">
      <c r="A46" s="41" t="inlineStr">
        <is>
          <t>Carla</t>
        </is>
      </c>
      <c r="B46" s="41" t="inlineStr">
        <is>
          <t>Marketing</t>
        </is>
      </c>
      <c r="C46" s="42" t="n">
        <v>5431</v>
      </c>
      <c r="D46" s="39">
        <f>SE(C46&gt;12000,"Especialista",SE(C46&gt;8000,"Senior",SE(C46&gt;5000,"Pleno","Junior")))</f>
        <v/>
      </c>
      <c r="E46" s="39">
        <f>IFS(C46&gt;12000,"Especialista",C46&gt;8000,"Senior",C46&gt;5000,"Pleno",VERDADEIRO,"Junior")</f>
        <v/>
      </c>
      <c r="F46" s="40">
        <f>SE(C46&gt;10000,"Alto",SE(C46&gt;6000,"Medio","Baixo"))</f>
        <v/>
      </c>
      <c r="G46" s="40">
        <f>SE(G46="Sim","Ativo","Inativo")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39">
        <f>SE(C47&gt;12000,"Especialista",SE(C47&gt;8000,"Senior",SE(C47&gt;5000,"Pleno","Junior")))</f>
        <v/>
      </c>
      <c r="E47" s="39">
        <f>IFS(C47&gt;12000,"Especialista",C47&gt;8000,"Senior",C47&gt;5000,"Pleno",VERDADEIRO,"Junior")</f>
        <v/>
      </c>
      <c r="F47" s="40">
        <f>SE(C47&gt;10000,"Alto",SE(C47&gt;6000,"Medio","Baixo"))</f>
        <v/>
      </c>
      <c r="G47" s="40">
        <f>SE(G47="Sim","Ativo","Inativo")</f>
        <v/>
      </c>
    </row>
    <row r="48">
      <c r="A48" s="41" t="inlineStr">
        <is>
          <t>Simone</t>
        </is>
      </c>
      <c r="B48" s="41" t="inlineStr">
        <is>
          <t>Vendas</t>
        </is>
      </c>
      <c r="C48" s="42" t="n">
        <v>5021.77</v>
      </c>
      <c r="D48" s="39">
        <f>SE(C48&gt;12000,"Especialista",SE(C48&gt;8000,"Senior",SE(C48&gt;5000,"Pleno","Junior")))</f>
        <v/>
      </c>
      <c r="E48" s="39">
        <f>IFS(C48&gt;12000,"Especialista",C48&gt;8000,"Senior",C48&gt;5000,"Pleno",VERDADEIRO,"Junior")</f>
        <v/>
      </c>
      <c r="F48" s="40">
        <f>SE(C48&gt;10000,"Alto",SE(C48&gt;6000,"Medio","Baixo"))</f>
        <v/>
      </c>
      <c r="G48" s="40">
        <f>SE(G48="Sim","Ativo","Inativo")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39">
        <f>SE(C49&gt;12000,"Especialista",SE(C49&gt;8000,"Senior",SE(C49&gt;5000,"Pleno","Junior")))</f>
        <v/>
      </c>
      <c r="E49" s="39">
        <f>IFS(C49&gt;12000,"Especialista",C49&gt;8000,"Senior",C49&gt;5000,"Pleno",VERDADEIRO,"Junior")</f>
        <v/>
      </c>
      <c r="F49" s="40">
        <f>SE(C49&gt;10000,"Alto",SE(C49&gt;6000,"Medio","Baixo"))</f>
        <v/>
      </c>
      <c r="G49" s="40">
        <f>SE(G49="Sim","Ativo","Inativo")</f>
        <v/>
      </c>
    </row>
    <row r="50">
      <c r="A50" s="41" t="inlineStr">
        <is>
          <t>Mônica</t>
        </is>
      </c>
      <c r="B50" s="41" t="inlineStr">
        <is>
          <t>TI</t>
        </is>
      </c>
      <c r="C50" s="42" t="n">
        <v>7844.93</v>
      </c>
      <c r="D50" s="39">
        <f>SE(C50&gt;12000,"Especialista",SE(C50&gt;8000,"Senior",SE(C50&gt;5000,"Pleno","Junior")))</f>
        <v/>
      </c>
      <c r="E50" s="39">
        <f>IFS(C50&gt;12000,"Especialista",C50&gt;8000,"Senior",C50&gt;5000,"Pleno",VERDADEIRO,"Junior")</f>
        <v/>
      </c>
      <c r="F50" s="40">
        <f>SE(C50&gt;10000,"Alto",SE(C50&gt;6000,"Medio","Baixo"))</f>
        <v/>
      </c>
      <c r="G50" s="40">
        <f>SE(G50="Sim","Ativo","Inativo")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39">
        <f>SE(C51&gt;12000,"Especialista",SE(C51&gt;8000,"Senior",SE(C51&gt;5000,"Pleno","Junior")))</f>
        <v/>
      </c>
      <c r="E51" s="39">
        <f>IFS(C51&gt;12000,"Especialista",C51&gt;8000,"Senior",C51&gt;5000,"Pleno",VERDADEIRO,"Junior")</f>
        <v/>
      </c>
      <c r="F51" s="40">
        <f>SE(C51&gt;10000,"Alto",SE(C51&gt;6000,"Medio","Baixo"))</f>
        <v/>
      </c>
      <c r="G51" s="40">
        <f>SE(G51="Sim","Ativo","Inativo")</f>
        <v/>
      </c>
    </row>
    <row r="52">
      <c r="A52" s="41" t="inlineStr">
        <is>
          <t>Helena</t>
        </is>
      </c>
      <c r="B52" s="41" t="inlineStr">
        <is>
          <t>Financeiro</t>
        </is>
      </c>
      <c r="C52" s="42" t="n">
        <v>7480.7</v>
      </c>
      <c r="D52" s="39">
        <f>SE(C52&gt;12000,"Especialista",SE(C52&gt;8000,"Senior",SE(C52&gt;5000,"Pleno","Junior")))</f>
        <v/>
      </c>
      <c r="E52" s="39">
        <f>IFS(C52&gt;12000,"Especialista",C52&gt;8000,"Senior",C52&gt;5000,"Pleno",VERDADEIRO,"Junior")</f>
        <v/>
      </c>
      <c r="F52" s="40">
        <f>SE(C52&gt;10000,"Alto",SE(C52&gt;6000,"Medio","Baixo"))</f>
        <v/>
      </c>
      <c r="G52" s="40">
        <f>SE(G52="Sim","Ativo","Inativo")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39">
        <f>SE(C53&gt;12000,"Especialista",SE(C53&gt;8000,"Senior",SE(C53&gt;5000,"Pleno","Junior")))</f>
        <v/>
      </c>
      <c r="E53" s="39">
        <f>IFS(C53&gt;12000,"Especialista",C53&gt;8000,"Senior",C53&gt;5000,"Pleno",VERDADEIRO,"Junior")</f>
        <v/>
      </c>
      <c r="F53" s="40">
        <f>SE(C53&gt;10000,"Alto",SE(C53&gt;6000,"Medio","Baixo"))</f>
        <v/>
      </c>
      <c r="G53" s="40">
        <f>SE(G53="Sim","Ativo","Inativo")</f>
        <v/>
      </c>
    </row>
    <row r="54">
      <c r="A54" s="41" t="inlineStr">
        <is>
          <t>Larissa</t>
        </is>
      </c>
      <c r="B54" s="41" t="inlineStr">
        <is>
          <t>TI</t>
        </is>
      </c>
      <c r="C54" s="42" t="n">
        <v>13862.23</v>
      </c>
      <c r="D54" s="39">
        <f>SE(C54&gt;12000,"Especialista",SE(C54&gt;8000,"Senior",SE(C54&gt;5000,"Pleno","Junior")))</f>
        <v/>
      </c>
      <c r="E54" s="39">
        <f>IFS(C54&gt;12000,"Especialista",C54&gt;8000,"Senior",C54&gt;5000,"Pleno",VERDADEIRO,"Junior")</f>
        <v/>
      </c>
      <c r="F54" s="40">
        <f>SE(C54&gt;10000,"Alto",SE(C54&gt;6000,"Medio","Baixo"))</f>
        <v/>
      </c>
      <c r="G54" s="40">
        <f>SE(G54="Sim","Ativo","Inativo")</f>
        <v/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5" customWidth="1" min="4" max="4"/>
    <col width="22" customWidth="1" min="5" max="5"/>
    <col width="20" customWidth="1" min="6" max="6"/>
    <col width="22" customWidth="1" min="7" max="7"/>
  </cols>
  <sheetData>
    <row r="1" ht="25" customHeight="1">
      <c r="A1" s="13" t="inlineStr">
        <is>
          <t>Lookup — PROCV, PROCX, INDICE+CORRESP</t>
        </is>
      </c>
    </row>
    <row r="2">
      <c r="A2" s="14" t="inlineStr">
        <is>
          <t>ID Buscado</t>
        </is>
      </c>
      <c r="B2" s="14" t="inlineStr">
        <is>
          <t>PROCV — Nome</t>
        </is>
      </c>
      <c r="C2" s="14" t="inlineStr">
        <is>
          <t>PROCV — Departamento</t>
        </is>
      </c>
      <c r="D2" s="14" t="inlineStr">
        <is>
          <t>PROCV — Salario</t>
        </is>
      </c>
      <c r="E2" s="14" t="inlineStr">
        <is>
          <t>PROCX — Cargo</t>
        </is>
      </c>
      <c r="F2" s="14" t="inlineStr">
        <is>
          <t>INDICE+CORRESP — Cidade</t>
        </is>
      </c>
      <c r="G2" s="14" t="inlineStr">
        <is>
          <t>SEERRO — seguro</t>
        </is>
      </c>
    </row>
    <row r="3">
      <c r="A3" s="43" t="n">
        <v>1</v>
      </c>
      <c r="B3" s="44">
        <f>PROCV(A3,Dados!$A$3:$H$54,2,FALSO)</f>
        <v/>
      </c>
      <c r="C3" s="44">
        <f>PROCV(A3,Dados!$A$3:$H$54,3,FALSO)</f>
        <v/>
      </c>
      <c r="D3" s="45">
        <f>PROCV(A3,Dados!$A$3:$H$54,6,FALSO)</f>
        <v/>
      </c>
      <c r="E3" s="46">
        <f>PROCX(A3,Dados!$A$3:$A$54,Dados!$D$3:$D$54,"Nao encontrado")</f>
        <v/>
      </c>
      <c r="F3" s="47">
        <f>INDICE(Dados!$E$3:$E$54,CORRESP(A3,Dados!$A$3:$A$54,0))</f>
        <v/>
      </c>
      <c r="G3" s="48">
        <f>SEERRO(PROCV(A3,Dados!$A$3:$H$54,2,FALSO),"ID nao encontrado")</f>
        <v/>
      </c>
    </row>
    <row r="4">
      <c r="A4" s="43" t="n">
        <v>5</v>
      </c>
      <c r="B4" s="44">
        <f>PROCV(A4,Dados!$A$3:$H$54,2,FALSO)</f>
        <v/>
      </c>
      <c r="C4" s="44">
        <f>PROCV(A4,Dados!$A$3:$H$54,3,FALSO)</f>
        <v/>
      </c>
      <c r="D4" s="45">
        <f>PROCV(A4,Dados!$A$3:$H$54,6,FALSO)</f>
        <v/>
      </c>
      <c r="E4" s="46">
        <f>PROCX(A4,Dados!$A$3:$A$54,Dados!$D$3:$D$54,"Nao encontrado")</f>
        <v/>
      </c>
      <c r="F4" s="47">
        <f>INDICE(Dados!$E$3:$E$54,CORRESP(A4,Dados!$A$3:$A$54,0))</f>
        <v/>
      </c>
      <c r="G4" s="48">
        <f>SEERRO(PROCV(A4,Dados!$A$3:$H$54,2,FALSO),"ID nao encontrado")</f>
        <v/>
      </c>
    </row>
    <row r="5">
      <c r="A5" s="43" t="n">
        <v>10</v>
      </c>
      <c r="B5" s="44">
        <f>PROCV(A5,Dados!$A$3:$H$54,2,FALSO)</f>
        <v/>
      </c>
      <c r="C5" s="44">
        <f>PROCV(A5,Dados!$A$3:$H$54,3,FALSO)</f>
        <v/>
      </c>
      <c r="D5" s="45">
        <f>PROCV(A5,Dados!$A$3:$H$54,6,FALSO)</f>
        <v/>
      </c>
      <c r="E5" s="46">
        <f>PROCX(A5,Dados!$A$3:$A$54,Dados!$D$3:$D$54,"Nao encontrado")</f>
        <v/>
      </c>
      <c r="F5" s="47">
        <f>INDICE(Dados!$E$3:$E$54,CORRESP(A5,Dados!$A$3:$A$54,0))</f>
        <v/>
      </c>
      <c r="G5" s="48">
        <f>SEERRO(PROCV(A5,Dados!$A$3:$H$54,2,FALSO),"ID nao encontrado")</f>
        <v/>
      </c>
    </row>
    <row r="6">
      <c r="A6" s="43" t="n">
        <v>20</v>
      </c>
      <c r="B6" s="44">
        <f>PROCV(A6,Dados!$A$3:$H$54,2,FALSO)</f>
        <v/>
      </c>
      <c r="C6" s="44">
        <f>PROCV(A6,Dados!$A$3:$H$54,3,FALSO)</f>
        <v/>
      </c>
      <c r="D6" s="45">
        <f>PROCV(A6,Dados!$A$3:$H$54,6,FALSO)</f>
        <v/>
      </c>
      <c r="E6" s="46">
        <f>PROCX(A6,Dados!$A$3:$A$54,Dados!$D$3:$D$54,"Nao encontrado")</f>
        <v/>
      </c>
      <c r="F6" s="47">
        <f>INDICE(Dados!$E$3:$E$54,CORRESP(A6,Dados!$A$3:$A$54,0))</f>
        <v/>
      </c>
      <c r="G6" s="48">
        <f>SEERRO(PROCV(A6,Dados!$A$3:$H$54,2,FALSO),"ID nao encontrado")</f>
        <v/>
      </c>
    </row>
    <row r="7">
      <c r="A7" s="43" t="n">
        <v>35</v>
      </c>
      <c r="B7" s="44">
        <f>PROCV(A7,Dados!$A$3:$H$54,2,FALSO)</f>
        <v/>
      </c>
      <c r="C7" s="44">
        <f>PROCV(A7,Dados!$A$3:$H$54,3,FALSO)</f>
        <v/>
      </c>
      <c r="D7" s="45">
        <f>PROCV(A7,Dados!$A$3:$H$54,6,FALSO)</f>
        <v/>
      </c>
      <c r="E7" s="46">
        <f>PROCX(A7,Dados!$A$3:$A$54,Dados!$D$3:$D$54,"Nao encontrado")</f>
        <v/>
      </c>
      <c r="F7" s="47">
        <f>INDICE(Dados!$E$3:$E$54,CORRESP(A7,Dados!$A$3:$A$54,0))</f>
        <v/>
      </c>
      <c r="G7" s="48">
        <f>SEERRO(PROCV(A7,Dados!$A$3:$H$54,2,FALSO),"ID nao encontrado")</f>
        <v/>
      </c>
    </row>
    <row r="8">
      <c r="A8" s="43" t="n">
        <v>50</v>
      </c>
      <c r="B8" s="44">
        <f>PROCV(A8,Dados!$A$3:$H$54,2,FALSO)</f>
        <v/>
      </c>
      <c r="C8" s="44">
        <f>PROCV(A8,Dados!$A$3:$H$54,3,FALSO)</f>
        <v/>
      </c>
      <c r="D8" s="45">
        <f>PROCV(A8,Dados!$A$3:$H$54,6,FALSO)</f>
        <v/>
      </c>
      <c r="E8" s="46">
        <f>PROCX(A8,Dados!$A$3:$A$54,Dados!$D$3:$D$54,"Nao encontrado")</f>
        <v/>
      </c>
      <c r="F8" s="47">
        <f>INDICE(Dados!$E$3:$E$54,CORRESP(A8,Dados!$A$3:$A$54,0))</f>
        <v/>
      </c>
      <c r="G8" s="48">
        <f>SEERRO(PROCV(A8,Dados!$A$3:$H$54,2,FALSO),"ID nao encontrado")</f>
        <v/>
      </c>
    </row>
    <row r="9">
      <c r="A9" s="43" t="n">
        <v>99</v>
      </c>
      <c r="B9" s="44">
        <f>PROCV(A9,Dados!$A$3:$H$54,2,FALSO)</f>
        <v/>
      </c>
      <c r="C9" s="44">
        <f>PROCV(A9,Dados!$A$3:$H$54,3,FALSO)</f>
        <v/>
      </c>
      <c r="D9" s="45">
        <f>PROCV(A9,Dados!$A$3:$H$54,6,FALSO)</f>
        <v/>
      </c>
      <c r="E9" s="46">
        <f>PROCX(A9,Dados!$A$3:$A$54,Dados!$D$3:$D$54,"Nao encontrado")</f>
        <v/>
      </c>
      <c r="F9" s="47">
        <f>INDICE(Dados!$E$3:$E$54,CORRESP(A9,Dados!$A$3:$A$54,0))</f>
        <v/>
      </c>
      <c r="G9" s="48">
        <f>SEERRO(PROCV(A9,Dados!$A$3:$H$54,2,FALSO),"ID nao encontrado")</f>
        <v/>
      </c>
    </row>
    <row r="12">
      <c r="A12" s="21" t="inlineStr">
        <is>
          <t>Amarelo = PROCV  |  Verde = PROCX (Excel 365+)  |  Azul = INDICE+CORRESP  |  Vermelho = SEERRO</t>
        </is>
      </c>
    </row>
  </sheetData>
  <mergeCells count="2">
    <mergeCell ref="A1:G1"/>
    <mergeCell ref="A12:G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0" customWidth="1" min="4" max="4"/>
    <col width="24" customWidth="1" min="6" max="6"/>
    <col width="42" customWidth="1" min="7" max="7"/>
  </cols>
  <sheetData>
    <row r="1" ht="25" customHeight="1">
      <c r="A1" s="13" t="inlineStr">
        <is>
          <t>Metricas Avancadas — Ranking, Top N, Percentual</t>
        </is>
      </c>
    </row>
    <row r="2">
      <c r="A2" s="49" t="inlineStr">
        <is>
          <t>Nome</t>
        </is>
      </c>
      <c r="B2" s="49" t="inlineStr">
        <is>
          <t>Departamento</t>
        </is>
      </c>
      <c r="C2" s="49" t="inlineStr">
        <is>
          <t>Salario</t>
        </is>
      </c>
      <c r="D2" s="49" t="inlineStr">
        <is>
          <t>Ranking (ORDEM.EQ)</t>
        </is>
      </c>
      <c r="F2" s="50" t="inlineStr">
        <is>
          <t>Metrica</t>
        </is>
      </c>
      <c r="G2" s="50" t="inlineStr">
        <is>
          <t>Formula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44">
        <f>ORDEM.EQ(C3,$C$3:$C$54,0)</f>
        <v/>
      </c>
      <c r="F3" s="15" t="inlineStr">
        <is>
          <t>1o maior salario</t>
        </is>
      </c>
      <c r="G3" s="19">
        <f>GRANDE($C$3:$C$54,1)</f>
        <v/>
      </c>
    </row>
    <row r="4">
      <c r="A4" s="51" t="inlineStr">
        <is>
          <t>Carlos</t>
        </is>
      </c>
      <c r="B4" s="51" t="inlineStr"/>
      <c r="C4" s="52" t="n">
        <v>4842.67</v>
      </c>
      <c r="D4" s="44">
        <f>ORDEM.EQ(C4,$C$3:$C$54,0)</f>
        <v/>
      </c>
      <c r="F4" s="15" t="inlineStr">
        <is>
          <t>2o maior salario</t>
        </is>
      </c>
      <c r="G4" s="19">
        <f>GRANDE($C$3:$C$54,2)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44">
        <f>ORDEM.EQ(C5,$C$3:$C$54,0)</f>
        <v/>
      </c>
      <c r="F5" s="15" t="inlineStr">
        <is>
          <t>3o maior salario</t>
        </is>
      </c>
      <c r="G5" s="19">
        <f>GRANDE($C$3:$54,3)</f>
        <v/>
      </c>
    </row>
    <row r="6">
      <c r="A6" s="51" t="inlineStr">
        <is>
          <t>Maria</t>
        </is>
      </c>
      <c r="B6" s="51" t="inlineStr">
        <is>
          <t>RH</t>
        </is>
      </c>
      <c r="C6" s="52" t="n">
        <v>4102.85</v>
      </c>
      <c r="D6" s="44">
        <f>ORDEM.EQ(C6,$C$3:$C$54,0)</f>
        <v/>
      </c>
      <c r="F6" s="15" t="inlineStr">
        <is>
          <t>1o menor salario</t>
        </is>
      </c>
      <c r="G6" s="19">
        <f>PEQUENO($C$3:$C$54,1)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44">
        <f>ORDEM.EQ(C7,$C$3:$C$54,0)</f>
        <v/>
      </c>
      <c r="F7" s="15" t="inlineStr">
        <is>
          <t>Mediana</t>
        </is>
      </c>
      <c r="G7" s="19">
        <f>MED($C$3:$C$54)</f>
        <v/>
      </c>
    </row>
    <row r="8">
      <c r="A8" s="51" t="inlineStr">
        <is>
          <t>Fernanda</t>
        </is>
      </c>
      <c r="B8" s="51" t="inlineStr">
        <is>
          <t>RH</t>
        </is>
      </c>
      <c r="C8" s="52" t="n">
        <v>9059.57</v>
      </c>
      <c r="D8" s="44">
        <f>ORDEM.EQ(C8,$C$3:$C$54,0)</f>
        <v/>
      </c>
      <c r="F8" s="15" t="inlineStr">
        <is>
          <t>Desvio Padrao</t>
        </is>
      </c>
      <c r="G8" s="16">
        <f>DESVPAD($C$3:$C$54)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44">
        <f>ORDEM.EQ(C9,$C$3:$C$54,0)</f>
        <v/>
      </c>
      <c r="F9" s="15" t="inlineStr">
        <is>
          <t>% acima da media</t>
        </is>
      </c>
      <c r="G9" s="53">
        <f>CONT.SE($C$3:$C$54,"&gt;"&amp;MEDIA($C$3:$C$54))/CONT.VALORES($C$3:$C$54)</f>
        <v/>
      </c>
    </row>
    <row r="10">
      <c r="A10" s="51" t="inlineStr">
        <is>
          <t>Juliana</t>
        </is>
      </c>
      <c r="B10" s="51" t="inlineStr">
        <is>
          <t>Marketing</t>
        </is>
      </c>
      <c r="C10" s="52" t="n"/>
      <c r="D10" s="44">
        <f>ORDEM.EQ(C10,$C$3:$C$54,0)</f>
        <v/>
      </c>
      <c r="F10" s="15" t="inlineStr">
        <is>
          <t>Folha top 10</t>
        </is>
      </c>
      <c r="G10" s="19">
        <f>SOMARPRODUTO(GRANDE($C$3:$C$54,{1,2,3,4,5,6,7,8,9,10}))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44">
        <f>ORDEM.EQ(C11,$C$3:$C$54,0)</f>
        <v/>
      </c>
    </row>
    <row r="12">
      <c r="A12" s="51" t="inlineStr">
        <is>
          <t>Camila</t>
        </is>
      </c>
      <c r="B12" s="51" t="inlineStr">
        <is>
          <t>Operações</t>
        </is>
      </c>
      <c r="C12" s="52" t="n"/>
      <c r="D12" s="44">
        <f>ORDEM.EQ(C12,$C$3:$C$54,0)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44">
        <f>ORDEM.EQ(C13,$C$3:$C$54,0)</f>
        <v/>
      </c>
    </row>
    <row r="14">
      <c r="A14" s="51" t="inlineStr">
        <is>
          <t>Larissa</t>
        </is>
      </c>
      <c r="B14" s="51" t="inlineStr">
        <is>
          <t>TI</t>
        </is>
      </c>
      <c r="C14" s="52" t="n">
        <v>13862.23</v>
      </c>
      <c r="D14" s="44">
        <f>ORDEM.EQ(C14,$C$3:$C$54,0)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44">
        <f>ORDEM.EQ(C15,$C$3:$C$54,0)</f>
        <v/>
      </c>
    </row>
    <row r="16">
      <c r="A16" s="51" t="inlineStr">
        <is>
          <t>Patrícia</t>
        </is>
      </c>
      <c r="B16" s="51" t="inlineStr">
        <is>
          <t>Vendas</t>
        </is>
      </c>
      <c r="C16" s="52" t="n">
        <v>9862.6</v>
      </c>
      <c r="D16" s="44">
        <f>ORDEM.EQ(C16,$C$3:$C$54,0)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44">
        <f>ORDEM.EQ(C17,$C$3:$C$54,0)</f>
        <v/>
      </c>
    </row>
    <row r="18">
      <c r="A18" s="51" t="inlineStr">
        <is>
          <t>Renata</t>
        </is>
      </c>
      <c r="B18" s="51" t="inlineStr">
        <is>
          <t>Vendas</t>
        </is>
      </c>
      <c r="C18" s="52" t="n">
        <v>8937.76</v>
      </c>
      <c r="D18" s="44">
        <f>ORDEM.EQ(C18,$C$3:$C$54,0)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44">
        <f>ORDEM.EQ(C19,$C$3:$C$54,0)</f>
        <v/>
      </c>
    </row>
    <row r="20">
      <c r="A20" s="51" t="inlineStr">
        <is>
          <t>Daniela</t>
        </is>
      </c>
      <c r="B20" s="51" t="inlineStr"/>
      <c r="C20" s="52" t="n">
        <v>7324.01</v>
      </c>
      <c r="D20" s="44">
        <f>ORDEM.EQ(C20,$C$3:$C$54,0)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44">
        <f>ORDEM.EQ(C21,$C$3:$C$54,0)</f>
        <v/>
      </c>
    </row>
    <row r="22">
      <c r="A22" s="51" t="inlineStr">
        <is>
          <t>Amanda</t>
        </is>
      </c>
      <c r="B22" s="51" t="inlineStr">
        <is>
          <t>Vendas</t>
        </is>
      </c>
      <c r="C22" s="52" t="n">
        <v>10267.47</v>
      </c>
      <c r="D22" s="44">
        <f>ORDEM.EQ(C22,$C$3:$C$54,0)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44">
        <f>ORDEM.EQ(C23,$C$3:$C$54,0)</f>
        <v/>
      </c>
    </row>
    <row r="24">
      <c r="A24" s="51" t="inlineStr">
        <is>
          <t>Vanessa</t>
        </is>
      </c>
      <c r="B24" s="51" t="inlineStr">
        <is>
          <t>RH</t>
        </is>
      </c>
      <c r="C24" s="52" t="n">
        <v>5123.74</v>
      </c>
      <c r="D24" s="44">
        <f>ORDEM.EQ(C24,$C$3:$C$54,0)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44">
        <f>ORDEM.EQ(C25,$C$3:$C$54,0)</f>
        <v/>
      </c>
    </row>
    <row r="26">
      <c r="A26" s="51" t="inlineStr">
        <is>
          <t>Aline</t>
        </is>
      </c>
      <c r="B26" s="51" t="inlineStr">
        <is>
          <t>Financeiro</t>
        </is>
      </c>
      <c r="C26" s="52" t="n">
        <v>9364.59</v>
      </c>
      <c r="D26" s="44">
        <f>ORDEM.EQ(C26,$C$3:$C$54,0)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44">
        <f>ORDEM.EQ(C27,$C$3:$C$54,0)</f>
        <v/>
      </c>
    </row>
    <row r="28">
      <c r="A28" s="51" t="inlineStr">
        <is>
          <t>Cristina</t>
        </is>
      </c>
      <c r="B28" s="51" t="inlineStr">
        <is>
          <t>TI</t>
        </is>
      </c>
      <c r="C28" s="52" t="n">
        <v>5890.78</v>
      </c>
      <c r="D28" s="44">
        <f>ORDEM.EQ(C28,$C$3:$C$54,0)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44">
        <f>ORDEM.EQ(C29,$C$3:$C$54,0)</f>
        <v/>
      </c>
    </row>
    <row r="30">
      <c r="A30" s="51" t="inlineStr">
        <is>
          <t>Priscila</t>
        </is>
      </c>
      <c r="B30" s="51" t="inlineStr"/>
      <c r="C30" s="52" t="n">
        <v>12224.44</v>
      </c>
      <c r="D30" s="44">
        <f>ORDEM.EQ(C30,$C$3:$C$54,0)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44">
        <f>ORDEM.EQ(C31,$C$3:$C$54,0)</f>
        <v/>
      </c>
    </row>
    <row r="32">
      <c r="A32" s="51" t="inlineStr">
        <is>
          <t>Tatiana</t>
        </is>
      </c>
      <c r="B32" s="51" t="inlineStr">
        <is>
          <t>Operações</t>
        </is>
      </c>
      <c r="C32" s="52" t="n">
        <v>6592.4</v>
      </c>
      <c r="D32" s="44">
        <f>ORDEM.EQ(C32,$C$3:$C$54,0)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44">
        <f>ORDEM.EQ(C33,$C$3:$C$54,0)</f>
        <v/>
      </c>
    </row>
    <row r="34">
      <c r="A34" s="51" t="inlineStr">
        <is>
          <t>Mariana</t>
        </is>
      </c>
      <c r="B34" s="51" t="inlineStr">
        <is>
          <t>Marketing</t>
        </is>
      </c>
      <c r="C34" s="52" t="n">
        <v>5008.97</v>
      </c>
      <c r="D34" s="44">
        <f>ORDEM.EQ(C34,$C$3:$C$54,0)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44">
        <f>ORDEM.EQ(C35,$C$3:$C$54,0)</f>
        <v/>
      </c>
    </row>
    <row r="36">
      <c r="A36" s="51" t="inlineStr">
        <is>
          <t>Beatriz</t>
        </is>
      </c>
      <c r="B36" s="51" t="inlineStr">
        <is>
          <t>Marketing</t>
        </is>
      </c>
      <c r="C36" s="52" t="n">
        <v>9676.76</v>
      </c>
      <c r="D36" s="44">
        <f>ORDEM.EQ(C36,$C$3:$C$54,0)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44">
        <f>ORDEM.EQ(C37,$C$3:$C$54,0)</f>
        <v/>
      </c>
    </row>
    <row r="38">
      <c r="A38" s="51" t="inlineStr">
        <is>
          <t>Érica</t>
        </is>
      </c>
      <c r="B38" s="51" t="inlineStr">
        <is>
          <t>Vendas</t>
        </is>
      </c>
      <c r="C38" s="52" t="n">
        <v>10781.45</v>
      </c>
      <c r="D38" s="44">
        <f>ORDEM.EQ(C38,$C$3:$C$54,0)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44">
        <f>ORDEM.EQ(C39,$C$3:$C$54,0)</f>
        <v/>
      </c>
    </row>
    <row r="40">
      <c r="A40" s="51" t="inlineStr">
        <is>
          <t>Letícia</t>
        </is>
      </c>
      <c r="B40" s="51" t="inlineStr">
        <is>
          <t>RH</t>
        </is>
      </c>
      <c r="C40" s="52" t="n">
        <v>4949</v>
      </c>
      <c r="D40" s="44">
        <f>ORDEM.EQ(C40,$C$3:$C$54,0)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44">
        <f>ORDEM.EQ(C41,$C$3:$C$54,0)</f>
        <v/>
      </c>
    </row>
    <row r="42">
      <c r="A42" s="51" t="inlineStr">
        <is>
          <t>Natália</t>
        </is>
      </c>
      <c r="B42" s="51" t="inlineStr">
        <is>
          <t>RH</t>
        </is>
      </c>
      <c r="C42" s="52" t="n">
        <v>4204.62</v>
      </c>
      <c r="D42" s="44">
        <f>ORDEM.EQ(C42,$C$3:$C$54,0)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44">
        <f>ORDEM.EQ(C43,$C$3:$C$54,0)</f>
        <v/>
      </c>
    </row>
    <row r="44">
      <c r="A44" s="51" t="inlineStr">
        <is>
          <t>Sabrina</t>
        </is>
      </c>
      <c r="B44" s="51" t="inlineStr">
        <is>
          <t>Financeiro</t>
        </is>
      </c>
      <c r="C44" s="52" t="n">
        <v>15412.06</v>
      </c>
      <c r="D44" s="44">
        <f>ORDEM.EQ(C44,$C$3:$C$54,0)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44">
        <f>ORDEM.EQ(C45,$C$3:$C$54,0)</f>
        <v/>
      </c>
    </row>
    <row r="46">
      <c r="A46" s="51" t="inlineStr">
        <is>
          <t>Carla</t>
        </is>
      </c>
      <c r="B46" s="51" t="inlineStr">
        <is>
          <t>Marketing</t>
        </is>
      </c>
      <c r="C46" s="52" t="n">
        <v>5431</v>
      </c>
      <c r="D46" s="44">
        <f>ORDEM.EQ(C46,$C$3:$C$54,0)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44">
        <f>ORDEM.EQ(C47,$C$3:$C$54,0)</f>
        <v/>
      </c>
    </row>
    <row r="48">
      <c r="A48" s="51" t="inlineStr">
        <is>
          <t>Simone</t>
        </is>
      </c>
      <c r="B48" s="51" t="inlineStr">
        <is>
          <t>Vendas</t>
        </is>
      </c>
      <c r="C48" s="52" t="n">
        <v>5021.77</v>
      </c>
      <c r="D48" s="44">
        <f>ORDEM.EQ(C48,$C$3:$C$54,0)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44">
        <f>ORDEM.EQ(C49,$C$3:$C$54,0)</f>
        <v/>
      </c>
    </row>
    <row r="50">
      <c r="A50" s="51" t="inlineStr">
        <is>
          <t>Mônica</t>
        </is>
      </c>
      <c r="B50" s="51" t="inlineStr">
        <is>
          <t>TI</t>
        </is>
      </c>
      <c r="C50" s="52" t="n">
        <v>7844.93</v>
      </c>
      <c r="D50" s="44">
        <f>ORDEM.EQ(C50,$C$3:$C$54,0)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44">
        <f>ORDEM.EQ(C51,$C$3:$C$54,0)</f>
        <v/>
      </c>
    </row>
    <row r="52">
      <c r="A52" s="51" t="inlineStr">
        <is>
          <t>Helena</t>
        </is>
      </c>
      <c r="B52" s="51" t="inlineStr">
        <is>
          <t>Financeiro</t>
        </is>
      </c>
      <c r="C52" s="52" t="n">
        <v>7480.7</v>
      </c>
      <c r="D52" s="44">
        <f>ORDEM.EQ(C52,$C$3:$C$54,0)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44">
        <f>ORDEM.EQ(C53,$C$3:$C$54,0)</f>
        <v/>
      </c>
    </row>
    <row r="54">
      <c r="A54" s="51" t="inlineStr">
        <is>
          <t>Larissa</t>
        </is>
      </c>
      <c r="B54" s="51" t="inlineStr">
        <is>
          <t>TI</t>
        </is>
      </c>
      <c r="C54" s="52" t="n">
        <v>13862.23</v>
      </c>
      <c r="D54" s="44">
        <f>ORDEM.EQ(C54,$C$3:$C$54,0)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2026-07-29T18:11:32Z</dcterms:created>
  <dcterms:modified xmlns:dcterms="http://purl.org/dc/terms/" xmlns:xsi="http://www.w3.org/2001/XMLSchema-instance" xsi:type="dcterms:W3CDTF">2026-07-29T18:11:32Z</dcterms:modified>
</cp:coreProperties>
</file>